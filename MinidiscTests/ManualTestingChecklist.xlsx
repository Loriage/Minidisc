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oriage/Developpement/NHDev/cassette/MinidiscTests/"/>
    </mc:Choice>
  </mc:AlternateContent>
  <xr:revisionPtr revIDLastSave="0" documentId="8_{21AB81B3-7C71-8B48-B021-6803822B7317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ynthèse" sheetId="1" r:id="rId1"/>
    <sheet name="Checklist" sheetId="2" r:id="rId2"/>
    <sheet name="Prépar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D37" i="1"/>
  <c r="C37" i="1"/>
  <c r="B37" i="1"/>
  <c r="F37" i="1" s="1"/>
  <c r="E36" i="1"/>
  <c r="D36" i="1"/>
  <c r="C36" i="1"/>
  <c r="B36" i="1"/>
  <c r="F36" i="1" s="1"/>
  <c r="E35" i="1"/>
  <c r="D35" i="1"/>
  <c r="C35" i="1"/>
  <c r="B35" i="1"/>
  <c r="F35" i="1" s="1"/>
  <c r="F34" i="1"/>
  <c r="E34" i="1"/>
  <c r="D34" i="1"/>
  <c r="C34" i="1"/>
  <c r="B34" i="1"/>
  <c r="E33" i="1"/>
  <c r="D33" i="1"/>
  <c r="C33" i="1"/>
  <c r="B33" i="1"/>
  <c r="F33" i="1" s="1"/>
  <c r="F32" i="1"/>
  <c r="E32" i="1"/>
  <c r="D32" i="1"/>
  <c r="C32" i="1"/>
  <c r="B32" i="1"/>
  <c r="E31" i="1"/>
  <c r="D31" i="1"/>
  <c r="C31" i="1"/>
  <c r="B31" i="1"/>
  <c r="F31" i="1" s="1"/>
  <c r="E30" i="1"/>
  <c r="D30" i="1"/>
  <c r="C30" i="1"/>
  <c r="B30" i="1"/>
  <c r="F30" i="1" s="1"/>
  <c r="F29" i="1"/>
  <c r="E29" i="1"/>
  <c r="D29" i="1"/>
  <c r="C29" i="1"/>
  <c r="B29" i="1"/>
  <c r="E28" i="1"/>
  <c r="D28" i="1"/>
  <c r="C28" i="1"/>
  <c r="B28" i="1"/>
  <c r="F28" i="1" s="1"/>
  <c r="E27" i="1"/>
  <c r="D27" i="1"/>
  <c r="C27" i="1"/>
  <c r="B27" i="1"/>
  <c r="F27" i="1" s="1"/>
  <c r="F26" i="1"/>
  <c r="E26" i="1"/>
  <c r="D26" i="1"/>
  <c r="C26" i="1"/>
  <c r="B26" i="1"/>
  <c r="E25" i="1"/>
  <c r="D25" i="1"/>
  <c r="C25" i="1"/>
  <c r="B25" i="1"/>
  <c r="F25" i="1" s="1"/>
  <c r="F24" i="1"/>
  <c r="E24" i="1"/>
  <c r="D24" i="1"/>
  <c r="C24" i="1"/>
  <c r="B24" i="1"/>
  <c r="E23" i="1"/>
  <c r="D23" i="1"/>
  <c r="C23" i="1"/>
  <c r="B23" i="1"/>
  <c r="F23" i="1" s="1"/>
  <c r="E22" i="1"/>
  <c r="D22" i="1"/>
  <c r="C22" i="1"/>
  <c r="B22" i="1"/>
  <c r="F22" i="1" s="1"/>
  <c r="E21" i="1"/>
  <c r="D21" i="1"/>
  <c r="C21" i="1"/>
  <c r="B21" i="1"/>
  <c r="F21" i="1" s="1"/>
  <c r="E20" i="1"/>
  <c r="D20" i="1"/>
  <c r="C20" i="1"/>
  <c r="B20" i="1"/>
  <c r="F20" i="1" s="1"/>
  <c r="G16" i="1"/>
  <c r="G15" i="1"/>
  <c r="G14" i="1"/>
  <c r="G13" i="1"/>
  <c r="C13" i="1"/>
  <c r="B13" i="1"/>
  <c r="D13" i="1" s="1"/>
  <c r="G12" i="1"/>
  <c r="C12" i="1"/>
  <c r="B12" i="1"/>
  <c r="D12" i="1" s="1"/>
  <c r="G11" i="1"/>
  <c r="C11" i="1"/>
  <c r="B11" i="1"/>
  <c r="D11" i="1" s="1"/>
  <c r="G5" i="1"/>
  <c r="E5" i="1"/>
  <c r="C5" i="1"/>
  <c r="A5" i="1"/>
</calcChain>
</file>

<file path=xl/sharedStrings.xml><?xml version="1.0" encoding="utf-8"?>
<sst xmlns="http://schemas.openxmlformats.org/spreadsheetml/2006/main" count="1191" uniqueCount="630">
  <si>
    <t>Suivi des tests manuels — Minidisc</t>
  </si>
  <si>
    <t>La synthèse se met à jour automatiquement depuis la colonne Statut de l’onglet Checklist.</t>
  </si>
  <si>
    <t>Tests au total</t>
  </si>
  <si>
    <t>À tester</t>
  </si>
  <si>
    <t>Tests OK</t>
  </si>
  <si>
    <t>Avancement</t>
  </si>
  <si>
    <t>Répartition par priorité</t>
  </si>
  <si>
    <t>Répartition par statut</t>
  </si>
  <si>
    <t>Priorité</t>
  </si>
  <si>
    <t>Total</t>
  </si>
  <si>
    <t>OK</t>
  </si>
  <si>
    <t>Statut</t>
  </si>
  <si>
    <t>Nombre</t>
  </si>
  <si>
    <t>P0</t>
  </si>
  <si>
    <t>P1</t>
  </si>
  <si>
    <t>En cours</t>
  </si>
  <si>
    <t>P2</t>
  </si>
  <si>
    <t>Échec</t>
  </si>
  <si>
    <t>Bloqué</t>
  </si>
  <si>
    <t>N/A</t>
  </si>
  <si>
    <t>Progression par catégorie</t>
  </si>
  <si>
    <t>Mode d’emploi</t>
  </si>
  <si>
    <t>Catégorie</t>
  </si>
  <si>
    <t>Traité</t>
  </si>
  <si>
    <t>1. Renseigner l’onglet Préparation.
2. Exécuter les P0 en premier.
3. Choisir un statut dans la Checklist.
4. Documenter toute anomalie dans Notes.
5. Filtrer par priorité, catégorie ou statut.</t>
  </si>
  <si>
    <t>Lecture &amp; seek</t>
  </si>
  <si>
    <t>Durée &amp; fin</t>
  </si>
  <si>
    <t>File &amp; navigation</t>
  </si>
  <si>
    <t>Repeat &amp; shuffle</t>
  </si>
  <si>
    <t>Crossfade</t>
  </si>
  <si>
    <t>Gapless</t>
  </si>
  <si>
    <t>ReplayGain</t>
  </si>
  <si>
    <t>Control Center</t>
  </si>
  <si>
    <t>Session audio &amp; routes</t>
  </si>
  <si>
    <t>Restauration</t>
  </si>
  <si>
    <t>Téléchargements</t>
  </si>
  <si>
    <t>Offline partagé</t>
  </si>
  <si>
    <t>Cache</t>
  </si>
  <si>
    <t>Stats &amp; scrobble</t>
  </si>
  <si>
    <t>Radio</t>
  </si>
  <si>
    <t>Auto-extend &amp; Smart Shuffle</t>
  </si>
  <si>
    <t>Serveurs &amp; intégrations</t>
  </si>
  <si>
    <t>Smoke test</t>
  </si>
  <si>
    <t>Checklist de tests manuels — Minidisc</t>
  </si>
  <si>
    <t>Commencer par les P0. Utiliser le menu Statut, saisir les anomalies dans Notes et dater chaque exécution.</t>
  </si>
  <si>
    <t>ID</t>
  </si>
  <si>
    <t>Test manuel</t>
  </si>
  <si>
    <t>Résultat attendu</t>
  </si>
  <si>
    <t>Configuration / Source</t>
  </si>
  <si>
    <t>Notes / anomalie</t>
  </si>
  <si>
    <t>Date du test</t>
  </si>
  <si>
    <t>T001</t>
  </si>
  <si>
    <t>Lancer un morceau depuis l’arrêt complet.</t>
  </si>
  <si>
    <t>Le son démarre rapidement, sans délai artificiel perceptible.</t>
  </si>
  <si>
    <t>Toutes sources</t>
  </si>
  <si>
    <t>T002</t>
  </si>
  <si>
    <t>Mettre en pause puis reprendre depuis le player.</t>
  </si>
  <si>
    <t>La lecture repart exactement au bon endroit.</t>
  </si>
  <si>
    <t>T003</t>
  </si>
  <si>
    <t>Déplacer le curseur en avant pendant la lecture.</t>
  </si>
  <si>
    <t>Le son saute réellement à la position demandée et l’UI reste synchronisée.</t>
  </si>
  <si>
    <t>T004</t>
  </si>
  <si>
    <t>Déplacer le curseur en arrière pendant la lecture.</t>
  </si>
  <si>
    <t>Le son et l’UI reviennent à la bonne position.</t>
  </si>
  <si>
    <t>T005</t>
  </si>
  <si>
    <t>Faire un seek pendant que le morceau est en pause, puis reprendre.</t>
  </si>
  <si>
    <t>La reprise commence à la nouvelle position, sans lecture intermédiaire.</t>
  </si>
  <si>
    <t>T006</t>
  </si>
  <si>
    <t>Effectuer plusieurs seeks rapides dans les deux directions.</t>
  </si>
  <si>
    <t>Seule la dernière demande gagne ; aucun retour retardé à une ancienne position.</t>
  </si>
  <si>
    <t>T007</t>
  </si>
  <si>
    <t>Faire un seek très près de zéro.</t>
  </si>
  <si>
    <t>La lecture rejoint proprement le début, sans blocage.</t>
  </si>
  <si>
    <t>T008</t>
  </si>
  <si>
    <t>Faire un seek très près de la fin.</t>
  </si>
  <si>
    <t>La lecture rejoint la fin réelle et la transition ne se déclenche qu’une fois.</t>
  </si>
  <si>
    <t>T009</t>
  </si>
  <si>
    <t>Faire un seek depuis les paroles synchronisées.</t>
  </si>
  <si>
    <t>Le son et le curseur se positionnent sur la ligne choisie.</t>
  </si>
  <si>
    <t>Piste avec paroles synchronisées</t>
  </si>
  <si>
    <t>T010</t>
  </si>
  <si>
    <t>Faire des seeks depuis l’écran verrouillé ou le Control Center.</t>
  </si>
  <si>
    <t>L’app et le Control Center affichent ensuite la même position.</t>
  </si>
  <si>
    <t>iPhone verrouillé</t>
  </si>
  <si>
    <t>T011</t>
  </si>
  <si>
    <t>Rouvrir l’app après un seek effectué dans le Control Center.</t>
  </si>
  <si>
    <t>Les deux curseurs correspondent et le son est au bon endroit.</t>
  </si>
  <si>
    <t>T012</t>
  </si>
  <si>
    <t>Faire un seek alors que la piste suivante est préchargée.</t>
  </si>
  <si>
    <t>Aucune double lecture, aucun changement de morceau retardé.</t>
  </si>
  <si>
    <t>Crossfade activé</t>
  </si>
  <si>
    <t>T013</t>
  </si>
  <si>
    <t>Laisser le morceau problématique se terminer naturellement.</t>
  </si>
  <si>
    <t>La lecture suit la durée audio réelle jusqu’à la vraie fin.</t>
  </si>
  <si>
    <t>Piste ayant produit le curseur bloqué à la fin</t>
  </si>
  <si>
    <t>T014</t>
  </si>
  <si>
    <t>Surveiller le temps restant pendant la dernière partie du morceau.</t>
  </si>
  <si>
    <t>Le player ne reste pas durablement à -0:00 pendant que le son continue.</t>
  </si>
  <si>
    <t>Piste à durée incorrecte</t>
  </si>
  <si>
    <t>T015</t>
  </si>
  <si>
    <t>Laisser une piste se terminer au milieu d’une file.</t>
  </si>
  <si>
    <t>La piste suivante ne démarre ni trop tôt ni trop tard.</t>
  </si>
  <si>
    <t>File de 3 pistes</t>
  </si>
  <si>
    <t>T016</t>
  </si>
  <si>
    <t>Observer la transition complète vers le morceau suivant.</t>
  </si>
  <si>
    <t>Le morceau suivant démarre une seule fois ; aucune ancienne piste ne continue.</t>
  </si>
  <si>
    <t>T017</t>
  </si>
  <si>
    <t>Comparer mini-player, plein écran et Control Center au changement de piste.</t>
  </si>
  <si>
    <t>Titre, position et état changent ensemble.</t>
  </si>
  <si>
    <t>iPhone verrouillé puis déverrouillé</t>
  </si>
  <si>
    <t>T018</t>
  </si>
  <si>
    <t>Laisser finir le dernier morceau avec Repeat désactivé.</t>
  </si>
  <si>
    <t>Le son s’arrête, le bouton devient Play et le Control Center affiche un taux nul.</t>
  </si>
  <si>
    <t>Repeat Off</t>
  </si>
  <si>
    <t>T019</t>
  </si>
  <si>
    <t>Appuyer sur Play après la fin complète de la file.</t>
  </si>
  <si>
    <t>La lecture repart depuis le premier morceau.</t>
  </si>
  <si>
    <t>T020</t>
  </si>
  <si>
    <t>Relancer l’app après la fin complète de la file, puis appuyer sur Play.</t>
  </si>
  <si>
    <t>La file redémarre depuis le premier morceau.</t>
  </si>
  <si>
    <t>T021</t>
  </si>
  <si>
    <t>Appuyer sur Suivant en étant déjà sur le dernier morceau.</t>
  </si>
  <si>
    <t>Arrêt propre, sans lecture fantôme ni retour silencieux au premier titre.</t>
  </si>
  <si>
    <t>T022</t>
  </si>
  <si>
    <t>Utiliser Suivant depuis l’app.</t>
  </si>
  <si>
    <t>La piste suivante de la file devient la piste courante.</t>
  </si>
  <si>
    <t>T023</t>
  </si>
  <si>
    <t>Utiliser Suivant depuis le Control Center.</t>
  </si>
  <si>
    <t>Même résultat que depuis l’app, sans délai ni double transition.</t>
  </si>
  <si>
    <t>Écran verrouillé</t>
  </si>
  <si>
    <t>T024</t>
  </si>
  <si>
    <t>Utiliser Précédent après plus de 3 secondes de lecture.</t>
  </si>
  <si>
    <t>Le morceau courant redémarre au début.</t>
  </si>
  <si>
    <t>T025</t>
  </si>
  <si>
    <t>Utiliser Précédent dans les 3 premières secondes.</t>
  </si>
  <si>
    <t>La lecture revient au morceau précédent.</t>
  </si>
  <si>
    <t>T026</t>
  </si>
  <si>
    <t>Tester Précédent depuis le Control Center avant et après 3 secondes.</t>
  </si>
  <si>
    <t>La règle des 3 secondes reste identique à celle de l’app.</t>
  </si>
  <si>
    <t>T027</t>
  </si>
  <si>
    <t>Appuyer rapidement plusieurs fois sur Suivant.</t>
  </si>
  <si>
    <t>Le morceau final demandé gagne ; aucune ancienne résolution ne reprend la main.</t>
  </si>
  <si>
    <t>Réseau volontairement lent si possible</t>
  </si>
  <si>
    <t>T028</t>
  </si>
  <si>
    <t>Sélectionner rapidement deux morceaux différents dans la file.</t>
  </si>
  <si>
    <t>Seul le dernier morceau sélectionné finit par jouer.</t>
  </si>
  <si>
    <t>T029</t>
  </si>
  <si>
    <t>Placer deux occurrences du même morceau dans la file.</t>
  </si>
  <si>
    <t>Les deux occurrences sont jouées correctement et séparément.</t>
  </si>
  <si>
    <t>T030</t>
  </si>
  <si>
    <t>Réordonner des morceaux puis utiliser Suivant et Précédent.</t>
  </si>
  <si>
    <t>L’ordre réellement joué correspond à l’ordre visible.</t>
  </si>
  <si>
    <t>T031</t>
  </si>
  <si>
    <t>Supprimer un morceau à venir pendant la lecture.</t>
  </si>
  <si>
    <t>La transition suivante reste correcte et la file n’est pas corrompue.</t>
  </si>
  <si>
    <t>T032</t>
  </si>
  <si>
    <t>Lire une file complète avec Repeat Off.</t>
  </si>
  <si>
    <t>Le player s’arrête à la fin.</t>
  </si>
  <si>
    <t>T033</t>
  </si>
  <si>
    <t>Laisser finir un morceau avec Repeat One.</t>
  </si>
  <si>
    <t>Le même morceau recommence sans passer au suivant.</t>
  </si>
  <si>
    <t>Repeat One</t>
  </si>
  <si>
    <t>T034</t>
  </si>
  <si>
    <t>Observer plusieurs boucles en Repeat One.</t>
  </si>
  <si>
    <t>Chaque boucle repart réellement du début et ne double pas l’audio.</t>
  </si>
  <si>
    <t>T035</t>
  </si>
  <si>
    <t>Laisser finir la file avec Repeat All.</t>
  </si>
  <si>
    <t>Après le dernier morceau, la lecture reprend au premier.</t>
  </si>
  <si>
    <t>Repeat All</t>
  </si>
  <si>
    <t>T036</t>
  </si>
  <si>
    <t>Activer Shuffle en cours de lecture.</t>
  </si>
  <si>
    <t>Le morceau courant et l’historique ne bougent pas ; seuls les titres à venir changent.</t>
  </si>
  <si>
    <t>T037</t>
  </si>
  <si>
    <t>Désactiver Shuffle.</t>
  </si>
  <si>
    <t>L’ordre initial revient et le bon morceau reste courant.</t>
  </si>
  <si>
    <t>T038</t>
  </si>
  <si>
    <t>Activer puis désactiver Shuffle après avoir déplacé des morceaux.</t>
  </si>
  <si>
    <t>La file reste cohérente et ne perd aucun morceau.</t>
  </si>
  <si>
    <t>T039</t>
  </si>
  <si>
    <t>Démarrer une nouvelle file pendant Shuffle ou Smart Shuffle.</t>
  </si>
  <si>
    <t>La nouvelle file remplace proprement l’ancienne et l’ancien mode se termine.</t>
  </si>
  <si>
    <t>T040</t>
  </si>
  <si>
    <t>Laisser une transition naturelle avec Crossfade désactivé.</t>
  </si>
  <si>
    <t>Aucune superposition audible ; la transition reste propre.</t>
  </si>
  <si>
    <t>Crossfade Off</t>
  </si>
  <si>
    <t>T041</t>
  </si>
  <si>
    <t>Laisser une transition naturelle entre deux morceaux non consécutifs d’un album.</t>
  </si>
  <si>
    <t>Le chevauchement audible correspond approximativement à la durée configurée.</t>
  </si>
  <si>
    <t>Crossfade 5–6 s</t>
  </si>
  <si>
    <t>T042</t>
  </si>
  <si>
    <t>Écouter le début du morceau entrant pendant le fondu.</t>
  </si>
  <si>
    <t>Il commence au bon endroit, sans silence anormal.</t>
  </si>
  <si>
    <t>T043</t>
  </si>
  <si>
    <t>Écouter toute la zone de fondu.</t>
  </si>
  <si>
    <t>Aucun trou, clic, double démarrage ou coupure.</t>
  </si>
  <si>
    <t>T044</t>
  </si>
  <si>
    <t>Écouter la fin du fondu.</t>
  </si>
  <si>
    <t>Le morceau sortant disparaît progressivement, sans saut de volume au hand-off.</t>
  </si>
  <si>
    <t>T045</t>
  </si>
  <si>
    <t>Tester une transition entre deux morceaux streamés.</t>
  </si>
  <si>
    <t>Le crossfade est complet et stable.</t>
  </si>
  <si>
    <t>Streaming</t>
  </si>
  <si>
    <t>T046</t>
  </si>
  <si>
    <t>Tester une transition entre deux morceaux téléchargés.</t>
  </si>
  <si>
    <t>T047</t>
  </si>
  <si>
    <t>Tester streaming vers téléchargement, puis téléchargement vers streaming.</t>
  </si>
  <si>
    <t>Les deux transitions fonctionnent sans coupure.</t>
  </si>
  <si>
    <t>Sources mixtes</t>
  </si>
  <si>
    <t>T048</t>
  </si>
  <si>
    <t>Modifier la durée du crossfade pendant une lecture.</t>
  </si>
  <si>
    <t>La transition suivante utilise la nouvelle valeur.</t>
  </si>
  <si>
    <t>T049</t>
  </si>
  <si>
    <t>Appuyer sur Suivant alors que la piste suivante est probablement préchargée.</t>
  </si>
  <si>
    <t>Changement immédiat et unique, sans attendre un fondu complet.</t>
  </si>
  <si>
    <t>T050</t>
  </si>
  <si>
    <t>Désactiver le crossfade pendant un préchargement.</t>
  </si>
  <si>
    <t>Aucun ancien fondu ne se déclenche à la transition suivante.</t>
  </si>
  <si>
    <t>T051</t>
  </si>
  <si>
    <t>Lire deux pistes consécutives du même album avec l’option de continuité activée.</t>
  </si>
  <si>
    <t>Les pistes ne sont pas crossfadées.</t>
  </si>
  <si>
    <t>Keep album tracks back-to-back activé</t>
  </si>
  <si>
    <t>T052</t>
  </si>
  <si>
    <t>Écouter la jonction entre deux pistes gapless streamées.</t>
  </si>
  <si>
    <t>La transition est aussi continue que possible, sans blanc ajouté.</t>
  </si>
  <si>
    <t>T053</t>
  </si>
  <si>
    <t>Écouter la jonction entre deux pistes gapless téléchargées.</t>
  </si>
  <si>
    <t>Le silence d’encodage est retiré sans trou audible.</t>
  </si>
  <si>
    <t>T054</t>
  </si>
  <si>
    <t>Écouter la fin de la première piste gapless.</t>
  </si>
  <si>
    <t>La musique n’est pas coupée trop tôt.</t>
  </si>
  <si>
    <t>T055</t>
  </si>
  <si>
    <t>Écouter l’attaque de la seconde piste gapless.</t>
  </si>
  <si>
    <t>Aucune attaque musicale n’est tronquée.</t>
  </si>
  <si>
    <t>T056</t>
  </si>
  <si>
    <t>Lire deux morceaux provenant d’albums différents.</t>
  </si>
  <si>
    <t>Le crossfade configuré reste appliqué.</t>
  </si>
  <si>
    <t>Option de continuité activée</t>
  </si>
  <si>
    <t>T057</t>
  </si>
  <si>
    <t>Désactiver l’option de continuité puis rejouer les mêmes pistes d’album.</t>
  </si>
  <si>
    <t>Les pistes sont maintenant crossfadées.</t>
  </si>
  <si>
    <t>T058</t>
  </si>
  <si>
    <t>Modifier l’option de continuité pendant une lecture.</t>
  </si>
  <si>
    <t>La transition suivante prend immédiatement le nouveau réglage.</t>
  </si>
  <si>
    <t>T059</t>
  </si>
  <si>
    <t>Lire une piste avec ReplayGain désactivé.</t>
  </si>
  <si>
    <t>Le niveau sonore reste inchangé.</t>
  </si>
  <si>
    <t>T060</t>
  </si>
  <si>
    <t>Activer ReplayGain pendant la lecture.</t>
  </si>
  <si>
    <t>Le gain change immédiatement, sans pause.</t>
  </si>
  <si>
    <t>Piste avec tags ReplayGain</t>
  </si>
  <si>
    <t>T061</t>
  </si>
  <si>
    <t>Désactiver ReplayGain pendant la lecture.</t>
  </si>
  <si>
    <t>Le niveau d’origine revient immédiatement.</t>
  </si>
  <si>
    <t>T062</t>
  </si>
  <si>
    <t>Enchaîner deux morceaux de volumes très différents en mode Track.</t>
  </si>
  <si>
    <t>Leurs niveaux perçus sont rapprochés.</t>
  </si>
  <si>
    <t>Mode Track</t>
  </si>
  <si>
    <t>T063</t>
  </si>
  <si>
    <t>Lire plusieurs pistes d’un même album en mode Album.</t>
  </si>
  <si>
    <t>Les différences internes voulues de l’album restent perceptibles.</t>
  </si>
  <si>
    <t>Mode Album</t>
  </si>
  <si>
    <t>T064</t>
  </si>
  <si>
    <t>Passer le préampli à une valeur négative.</t>
  </si>
  <si>
    <t>Une baisse de niveau est audible.</t>
  </si>
  <si>
    <t>T065</t>
  </si>
  <si>
    <t>Passer le préampli à une valeur positive.</t>
  </si>
  <si>
    <t>Une hausse de niveau est audible.</t>
  </si>
  <si>
    <t>T066</t>
  </si>
  <si>
    <t>Lire une piste dépourvue de données ReplayGain.</t>
  </si>
  <si>
    <t>Elle reste lisible à son niveau normal.</t>
  </si>
  <si>
    <t>Piste sans tags ReplayGain</t>
  </si>
  <si>
    <t>T067</t>
  </si>
  <si>
    <t>Activer Prevent clipping avec un préampli élevé.</t>
  </si>
  <si>
    <t>Aucune saturation évidente ; le niveau est limité si nécessaire.</t>
  </si>
  <si>
    <t>T068</t>
  </si>
  <si>
    <t>Lire un morceau téléchargé avec ReplayGain.</t>
  </si>
  <si>
    <t>La normalisation reste appliquée hors ligne.</t>
  </si>
  <si>
    <t>Mode avion</t>
  </si>
  <si>
    <t>T069</t>
  </si>
  <si>
    <t>Observer un crossfade entre deux pistes ayant des gains très différents.</t>
  </si>
  <si>
    <t>Le morceau entrant est normalisé dès le début du fondu.</t>
  </si>
  <si>
    <t>Crossfade + ReplayGain</t>
  </si>
  <si>
    <t>T070</t>
  </si>
  <si>
    <t>Écouter le moment où la piste entrante devient principale.</t>
  </si>
  <si>
    <t>Aucun saut de volume au milieu ou à la fin du crossfade.</t>
  </si>
  <si>
    <t>T071</t>
  </si>
  <si>
    <t>Contrôler les logs ReplayGain d’une piste taguée.</t>
  </si>
  <si>
    <t>La valeur applied n’est pas toujours 0.00 dB.</t>
  </si>
  <si>
    <t>Filtre Console [REPLAYGAIN]</t>
  </si>
  <si>
    <t>T072</t>
  </si>
  <si>
    <t>Vérifier titre, artiste, album et pochette sur l’écran verrouillé.</t>
  </si>
  <si>
    <t>Toutes les métadonnées correspondent au morceau courant.</t>
  </si>
  <si>
    <t>T073</t>
  </si>
  <si>
    <t>Enchaîner rapidement plusieurs morceaux.</t>
  </si>
  <si>
    <t>Aucune ancienne pochette ne revient après le changement.</t>
  </si>
  <si>
    <t>T074</t>
  </si>
  <si>
    <t>Mettre en pause puis reprendre depuis l’écran verrouillé.</t>
  </si>
  <si>
    <t>Le player suit immédiatement l’action.</t>
  </si>
  <si>
    <t>T075</t>
  </si>
  <si>
    <t>Utiliser Suivant et Précédent depuis l’écran verrouillé.</t>
  </si>
  <si>
    <t>La file avance ou recule correctement.</t>
  </si>
  <si>
    <t>T076</t>
  </si>
  <si>
    <t>Faire un seek depuis l’écran verrouillé.</t>
  </si>
  <si>
    <t>Le son et l’app rejoignent la position demandée.</t>
  </si>
  <si>
    <t>T077</t>
  </si>
  <si>
    <t>Faire pause ou seek puis observer la pochette.</t>
  </si>
  <si>
    <t>La pochette reste affichée.</t>
  </si>
  <si>
    <t>T078</t>
  </si>
  <si>
    <t>Utiliser le bouton favori, s’il est disponible.</t>
  </si>
  <si>
    <t>Le favori du morceau courant est modifié.</t>
  </si>
  <si>
    <t>T079</t>
  </si>
  <si>
    <t>Changer rapidement de piste avant d’utiliser le favori.</t>
  </si>
  <si>
    <t>L’action concerne la nouvelle piste, jamais l’ancienne.</t>
  </si>
  <si>
    <t>T080</t>
  </si>
  <si>
    <t>Effectuer un arrêt complet du player.</t>
  </si>
  <si>
    <t>Les informations Now Playing disparaissent.</t>
  </si>
  <si>
    <t>T081</t>
  </si>
  <si>
    <t>Laisser l’écran verrouillé pendant plusieurs transitions.</t>
  </si>
  <si>
    <t>La position, la pochette et le titre ne se figent pas.</t>
  </si>
  <si>
    <t>T082</t>
  </si>
  <si>
    <t>Lire avec l’interrupteur silencieux activé.</t>
  </si>
  <si>
    <t>Le son continue normalement.</t>
  </si>
  <si>
    <t>iPhone physique</t>
  </si>
  <si>
    <t>T083</t>
  </si>
  <si>
    <t>Verrouiller l’iPhone pendant la lecture.</t>
  </si>
  <si>
    <t>La lecture continue.</t>
  </si>
  <si>
    <t>T084</t>
  </si>
  <si>
    <t>Laisser l’app en arrière-plan plusieurs minutes.</t>
  </si>
  <si>
    <t>La lecture continue sans coupure.</t>
  </si>
  <si>
    <t>T085</t>
  </si>
  <si>
    <t>Lire avec des AirPods ou un casque Bluetooth.</t>
  </si>
  <si>
    <t>Le son reste stéréo et ne passe pas en qualité appel.</t>
  </si>
  <si>
    <t>Bluetooth A2DP</t>
  </si>
  <si>
    <t>T086</t>
  </si>
  <si>
    <t>Ranger les AirPods dans leur boîtier.</t>
  </si>
  <si>
    <t>La lecture se met en pause et ne bascule pas sur le haut-parleur.</t>
  </si>
  <si>
    <t>T087</t>
  </si>
  <si>
    <t>Reconnecter les AirPods après la déconnexion.</t>
  </si>
  <si>
    <t>La lecture reste en pause jusqu’à une action explicite.</t>
  </si>
  <si>
    <t>T088</t>
  </si>
  <si>
    <t>Débrancher un casque filaire pendant la lecture.</t>
  </si>
  <si>
    <t>La lecture se met en pause et ne sort pas sur le haut-parleur.</t>
  </si>
  <si>
    <t>T089</t>
  </si>
  <si>
    <t>Déclencher Siri ou un appel pendant la lecture.</t>
  </si>
  <si>
    <t>Pause propre, puis reprise uniquement si iOS le demande.</t>
  </si>
  <si>
    <t>T090</t>
  </si>
  <si>
    <t>Déclencher Siri alors que le player était déjà en pause.</t>
  </si>
  <si>
    <t>Le player reste en pause après Siri.</t>
  </si>
  <si>
    <t>T091</t>
  </si>
  <si>
    <t>Passer sur AirPlay pendant la lecture puis revenir sur l’iPhone.</t>
  </si>
  <si>
    <t>Le routage change sans perte de contrôle ni lecture doublée.</t>
  </si>
  <si>
    <t>T092</t>
  </si>
  <si>
    <t>Lancer l’app quand les AirPods sont utilisés par le Mac.</t>
  </si>
  <si>
    <t>Minidisc ne les capture pas avant un appui explicite sur Play.</t>
  </si>
  <si>
    <t>T093</t>
  </si>
  <si>
    <t>Mettre un morceau en pause vers 1 minute, quitter puis relancer l’app.</t>
  </si>
  <si>
    <t>Le morceau, la file, Repeat et la position sont restaurés.</t>
  </si>
  <si>
    <t>T094</t>
  </si>
  <si>
    <t>Observer l’app juste après la relance.</t>
  </si>
  <si>
    <t>Aucun son ne démarre automatiquement.</t>
  </si>
  <si>
    <t>T095</t>
  </si>
  <si>
    <t>Appuyer sur Play après restauration.</t>
  </si>
  <si>
    <t>La reprise s’effectue autour de la position sauvegardée.</t>
  </si>
  <si>
    <t>T096</t>
  </si>
  <si>
    <t>Écouter attentivement le début de la reprise restaurée.</t>
  </si>
  <si>
    <t>Aucun bref son provenant du début du morceau avant le seek.</t>
  </si>
  <si>
    <t>T097</t>
  </si>
  <si>
    <t>Restaurer une session téléchargée en mode avion.</t>
  </si>
  <si>
    <t>La session est disponible et reprend hors ligne.</t>
  </si>
  <si>
    <t>T098</t>
  </si>
  <si>
    <t>Restaurer après une longue période en arrière-plan.</t>
  </si>
  <si>
    <t>La position enregistrée reste cohérente.</t>
  </si>
  <si>
    <t>T099</t>
  </si>
  <si>
    <t>Relancer après une file arrivée à son terme.</t>
  </si>
  <si>
    <t>Play repart du premier morceau.</t>
  </si>
  <si>
    <t>T100</t>
  </si>
  <si>
    <t>Lancer une radio, passer en arrière-plan puis relancer l’app.</t>
  </si>
  <si>
    <t>La radio n’écrase pas la dernière session musicale enregistrée.</t>
  </si>
  <si>
    <t>T101</t>
  </si>
  <si>
    <t>Télécharger un morceau seul.</t>
  </si>
  <si>
    <t>Le morceau apparaît téléchargé et reste lisible hors ligne.</t>
  </si>
  <si>
    <t>T102</t>
  </si>
  <si>
    <t>Télécharger un album complet.</t>
  </si>
  <si>
    <t>Toutes les pistes attendues sont présentes.</t>
  </si>
  <si>
    <t>T103</t>
  </si>
  <si>
    <t>Télécharger une playlist.</t>
  </si>
  <si>
    <t>Toutes les pistes disponibles sont présentes dans le bon ordre.</t>
  </si>
  <si>
    <t>T104</t>
  </si>
  <si>
    <t>Télécharger un gros fichier original sur une connexion lente.</t>
  </si>
  <si>
    <t>Le transfert ne s’arrête pas après 30 secondes.</t>
  </si>
  <si>
    <t>Original / FLAC si disponible</t>
  </si>
  <si>
    <t>T105</t>
  </si>
  <si>
    <t>Démarrer simultanément le même téléchargement via un album et une playlist.</t>
  </si>
  <si>
    <t>Les deux opérations attendent le vrai résultat et n’annoncent pas un succès prématuré.</t>
  </si>
  <si>
    <t>T106</t>
  </si>
  <si>
    <t>Annuler un téléchargement puis le relancer immédiatement.</t>
  </si>
  <si>
    <t>La nouvelle tentative fonctionne et peut de nouveau être annulée.</t>
  </si>
  <si>
    <t>T107</t>
  </si>
  <si>
    <t>Télécharger des fichiers MP3, FLAC et M4A/AAC.</t>
  </si>
  <si>
    <t>Chaque fichier est reconnu et lu avec le bon conteneur.</t>
  </si>
  <si>
    <t>Selon bibliothèque disponible</t>
  </si>
  <si>
    <t>T108</t>
  </si>
  <si>
    <t>Passer en mode avion et lire les contenus téléchargés.</t>
  </si>
  <si>
    <t>Morceau, album et playlist restent lisibles.</t>
  </si>
  <si>
    <t>T109</t>
  </si>
  <si>
    <t>Ouvrir Artiste, Album et Playlist en mode avion.</t>
  </si>
  <si>
    <t>Les pages locales se chargent sans réseau.</t>
  </si>
  <si>
    <t>T110</t>
  </si>
  <si>
    <t>Contrôler l’ordre des pistes hors ligne.</t>
  </si>
  <si>
    <t>Ordre de l’album et de la playlist conservé.</t>
  </si>
  <si>
    <t>T111</t>
  </si>
  <si>
    <t>Redémarrer l’app en mode avion.</t>
  </si>
  <si>
    <t>Les téléchargements sont toujours reconnus.</t>
  </si>
  <si>
    <t>T112</t>
  </si>
  <si>
    <t>Observer les pochettes hors ligne.</t>
  </si>
  <si>
    <t>Les pochettes déjà téléchargées restent disponibles.</t>
  </si>
  <si>
    <t>T113</t>
  </si>
  <si>
    <t>Télécharger un album et une playlist contenant un morceau commun, puis supprimer l’album.</t>
  </si>
  <si>
    <t>Le morceau partagé reste jouable dans la playlist.</t>
  </si>
  <si>
    <t>T114</t>
  </si>
  <si>
    <t>Retélécharger l’album puis supprimer la playlist.</t>
  </si>
  <si>
    <t>Le morceau partagé reste jouable dans l’album.</t>
  </si>
  <si>
    <t>T115</t>
  </si>
  <si>
    <t>Télécharger deux playlists partageant un morceau puis en supprimer une.</t>
  </si>
  <si>
    <t>Le morceau reste disponible dans l’autre playlist.</t>
  </si>
  <si>
    <t>T116</t>
  </si>
  <si>
    <t>Supprimer explicitement un morceau partagé.</t>
  </si>
  <si>
    <t>Il disparaît des collections offline concernées et leurs compteurs sont mis à jour.</t>
  </si>
  <si>
    <t>T117</t>
  </si>
  <si>
    <t>Utiliser Clear all.</t>
  </si>
  <si>
    <t>Albums, playlists, pistes et fichiers disparaissent.</t>
  </si>
  <si>
    <t>T118</t>
  </si>
  <si>
    <t>Relancer l’app après Clear all.</t>
  </si>
  <si>
    <t>Aucun téléchargement supprimé ne réapparaît.</t>
  </si>
  <si>
    <t>T119</t>
  </si>
  <si>
    <t>Avec deux serveurs, supprimer les téléchargements du premier.</t>
  </si>
  <si>
    <t>Les téléchargements de l’autre serveur restent intacts.</t>
  </si>
  <si>
    <t>Deux serveurs configurés</t>
  </si>
  <si>
    <t>T120</t>
  </si>
  <si>
    <t>Lire plus de 30 secondes d’un morceau streamé puis le relire.</t>
  </si>
  <si>
    <t>La seconde lecture peut utiliser la version mise en cache.</t>
  </si>
  <si>
    <t>T121</t>
  </si>
  <si>
    <t>Couper le réseau après la mise en cache puis relire le morceau.</t>
  </si>
  <si>
    <t>La version cachée est utilisée.</t>
  </si>
  <si>
    <t>T122</t>
  </si>
  <si>
    <t>Tester le cache en Match stream format.</t>
  </si>
  <si>
    <t>Le morceau est mis en cache et relu correctement.</t>
  </si>
  <si>
    <t>T123</t>
  </si>
  <si>
    <t>Tester le cache en Original (no transcoding).</t>
  </si>
  <si>
    <t>Le fichier original est mis en cache et relu correctement.</t>
  </si>
  <si>
    <t>T124</t>
  </si>
  <si>
    <t>Tester le cache dans un format MP3 forcé.</t>
  </si>
  <si>
    <t>Le transcodage choisi est mis en cache et lu correctement.</t>
  </si>
  <si>
    <t>T125</t>
  </si>
  <si>
    <t>Effacer le cache audio.</t>
  </si>
  <si>
    <t>Les téléchargements offline restent présents.</t>
  </si>
  <si>
    <t>T126</t>
  </si>
  <si>
    <t>Ouvrir des paroles déjà mises en cache après l’effacement du cache audio.</t>
  </si>
  <si>
    <t>Les paroles restent disponibles.</t>
  </si>
  <si>
    <t>T127</t>
  </si>
  <si>
    <t>Désactiver le cache sur réseau cellulaire puis lire en 4G/5G.</t>
  </si>
  <si>
    <t>Aucun gros téléchargement de cache ne démarre.</t>
  </si>
  <si>
    <t>Réseau cellulaire</t>
  </si>
  <si>
    <t>T128</t>
  </si>
  <si>
    <t>Écouter 10 secondes puis passer au suivant.</t>
  </si>
  <si>
    <t>Aucun événement local de lecture de 30 secondes n’est créé.</t>
  </si>
  <si>
    <t>Console [STATS]</t>
  </si>
  <si>
    <t>T129</t>
  </si>
  <si>
    <t>Écouter environ 35 secondes puis passer au suivant.</t>
  </si>
  <si>
    <t>Un événement Recorded indique environ 35 secondes.</t>
  </si>
  <si>
    <t>T130</t>
  </si>
  <si>
    <t>Mettre en pause pendant 30 secondes avant de reprendre.</t>
  </si>
  <si>
    <t>Le temps en pause n’est pas compté.</t>
  </si>
  <si>
    <t>T131</t>
  </si>
  <si>
    <t>Faire un seek directement au-delà de 50 %.</t>
  </si>
  <si>
    <t>Le temps sauté ne déclenche pas immédiatement un scrobble.</t>
  </si>
  <si>
    <t>T132</t>
  </si>
  <si>
    <t>Revenir en arrière par seek puis continuer à écouter.</t>
  </si>
  <si>
    <t>Le seek ne double pas artificiellement le temps écouté.</t>
  </si>
  <si>
    <t>T133</t>
  </si>
  <si>
    <t>Lire une piste de moins de 30 secondes.</t>
  </si>
  <si>
    <t>Elle ne produit pas de scrobble.</t>
  </si>
  <si>
    <t>T134</t>
  </si>
  <si>
    <t>Écouter réellement 50 % d’une piste normale.</t>
  </si>
  <si>
    <t>Un seul scrobble est envoyé.</t>
  </si>
  <si>
    <t>ListenBrainz ou logs serveur</t>
  </si>
  <si>
    <t>T135</t>
  </si>
  <si>
    <t>Écouter une piste longue pendant environ 4 minutes.</t>
  </si>
  <si>
    <t>Le seuil de scrobble est atteint au plus tard vers 4 minutes.</t>
  </si>
  <si>
    <t>T136</t>
  </si>
  <si>
    <t>Laisser plusieurs boucles en Repeat One.</t>
  </si>
  <si>
    <t>Au maximum un scrobble par passage complet.</t>
  </si>
  <si>
    <t>T137</t>
  </si>
  <si>
    <t>Provoquer une période de buffering.</t>
  </si>
  <si>
    <t>La durée de buffering n’est pas comptée comme écoutée.</t>
  </si>
  <si>
    <t>Réseau lent</t>
  </si>
  <si>
    <t>T138</t>
  </si>
  <si>
    <t>Couper le réseau au seuil de scrobble puis le rétablir.</t>
  </si>
  <si>
    <t>L’envoi ListenBrainz en attente finit par partir.</t>
  </si>
  <si>
    <t>T139</t>
  </si>
  <si>
    <t>Consulter ensuite Wrapped ou les statistiques.</t>
  </si>
  <si>
    <t>Les durées reflètent raisonnablement le temps réellement écouté.</t>
  </si>
  <si>
    <t>T140</t>
  </si>
  <si>
    <t>Lancer une radio internet externe.</t>
  </si>
  <si>
    <t>Le flux démarre et reste stable.</t>
  </si>
  <si>
    <t>T141</t>
  </si>
  <si>
    <t>Mettre en pause puis reprendre la radio depuis l’app et le Control Center.</t>
  </si>
  <si>
    <t>Les commandes fonctionnent dans les deux interfaces.</t>
  </si>
  <si>
    <t>T142</t>
  </si>
  <si>
    <t>Essayer de faire un seek sur la radio.</t>
  </si>
  <si>
    <t>Le seek est absent ou ignoré.</t>
  </si>
  <si>
    <t>T143</t>
  </si>
  <si>
    <t>Essayer Suivant et Précédent sur la radio.</t>
  </si>
  <si>
    <t>Les commandes sont désactivées ou ignorées.</t>
  </si>
  <si>
    <t>T144</t>
  </si>
  <si>
    <t>Observer le Control Center pendant la radio.</t>
  </si>
  <si>
    <t>Aucune ancienne durée ou barre de morceau normal ne reste affichée.</t>
  </si>
  <si>
    <t>T145</t>
  </si>
  <si>
    <t>Passer de la radio à un morceau.</t>
  </si>
  <si>
    <t>Seek, Suivant et Précédent redeviennent disponibles.</t>
  </si>
  <si>
    <t>T146</t>
  </si>
  <si>
    <t>Lire la radio en arrière-plan et écran verrouillé.</t>
  </si>
  <si>
    <t>Le flux continue.</t>
  </si>
  <si>
    <t>T147</t>
  </si>
  <si>
    <t>Lire une radio externe avec des headers d’authentification configurés sur le serveur musical.</t>
  </si>
  <si>
    <t>La radio fonctionne sans dépendre des headers privés du serveur musical.</t>
  </si>
  <si>
    <t>T148</t>
  </si>
  <si>
    <t>Activer Auto-extend et approcher de la fin de la file.</t>
  </si>
  <si>
    <t>De nouveaux morceaux sont ajoutés.</t>
  </si>
  <si>
    <t>T149</t>
  </si>
  <si>
    <t>Désactiver Auto-extend après une extension.</t>
  </si>
  <si>
    <t>La partie automatique est retirée sans supprimer les morceaux manuels.</t>
  </si>
  <si>
    <t>T150</t>
  </si>
  <si>
    <t>Activer Repeat pendant Auto-extend.</t>
  </si>
  <si>
    <t>Auto-extend est désactivé et ses extensions sont nettoyées.</t>
  </si>
  <si>
    <t>T151</t>
  </si>
  <si>
    <t>Activer Shuffle pendant Auto-extend.</t>
  </si>
  <si>
    <t>Auto-extend est désactivé sans corrompre la file.</t>
  </si>
  <si>
    <t>T152</t>
  </si>
  <si>
    <t>Lancer Smart Shuffle puis démarrer explicitement un album ou une playlist.</t>
  </si>
  <si>
    <t>La session Smart Shuffle se termine.</t>
  </si>
  <si>
    <t>T153</t>
  </si>
  <si>
    <t>Changer de file pendant le chargement d’une extension.</t>
  </si>
  <si>
    <t>Les anciens résultats n’apparaissent pas dans la nouvelle file.</t>
  </si>
  <si>
    <t>T154</t>
  </si>
  <si>
    <t>Modifier le mot de passe d’un serveur, enregistrer puis relancer l’app.</t>
  </si>
  <si>
    <t>La connexion reste fonctionnelle avec les nouvelles informations.</t>
  </si>
  <si>
    <t>T155</t>
  </si>
  <si>
    <t>Modifier uniquement les custom headers.</t>
  </si>
  <si>
    <t>AudioMuse reste connecté et son token est conservé.</t>
  </si>
  <si>
    <t>T156</t>
  </si>
  <si>
    <t>Basculer entre deux serveurs.</t>
  </si>
  <si>
    <t>Les téléchargements et caches ne sont pas confondus.</t>
  </si>
  <si>
    <t>T157</t>
  </si>
  <si>
    <t>Configurer ListenBrainz officiel, désactiver puis réactiver le scrobbling.</t>
  </si>
  <si>
    <t>Le réglage se réactive sans perdre le token.</t>
  </si>
  <si>
    <t>T158</t>
  </si>
  <si>
    <t>Configurer un serveur ListenBrainz compatible ne renvoyant pas de nom d’utilisateur.</t>
  </si>
  <si>
    <t>Le scrobbling peut tout de même être activé.</t>
  </si>
  <si>
    <t>T159</t>
  </si>
  <si>
    <t>Déconnecter ListenBrainz puis relancer l’app.</t>
  </si>
  <si>
    <t>L’ancien serveur et l’ancien compte ne réapparaissent pas.</t>
  </si>
  <si>
    <t>T160</t>
  </si>
  <si>
    <t>Vérifier AudioMuse après modification des credentials du serveur.</t>
  </si>
  <si>
    <t>L’intégration continue à fonctionner.</t>
  </si>
  <si>
    <t>T161</t>
  </si>
  <si>
    <t>Lancer l’app depuis un état arrêté.</t>
  </si>
  <si>
    <t>Aucun crash au lancement.</t>
  </si>
  <si>
    <t>T162</t>
  </si>
  <si>
    <t>Naviguer rapidement entre Accueil, Recherche, Bibliothèque, Téléchargements et Réglages.</t>
  </si>
  <si>
    <t>Aucun écran ne se bloque ou ne plante.</t>
  </si>
  <si>
    <t>T163</t>
  </si>
  <si>
    <t>Utiliser la recherche et l’historique de recherche.</t>
  </si>
  <si>
    <t>Résultats et historique fonctionnent normalement.</t>
  </si>
  <si>
    <t>T164</t>
  </si>
  <si>
    <t>Ouvrir un artiste, un album et une playlist en ligne puis hors ligne.</t>
  </si>
  <si>
    <t>Les pages s’affichent correctement dans les deux modes.</t>
  </si>
  <si>
    <t>T165</t>
  </si>
  <si>
    <t>Créer puis modifier une playlist.</t>
  </si>
  <si>
    <t>La playlist, ses pistes et ses métadonnées sont enregistrées.</t>
  </si>
  <si>
    <t>T166</t>
  </si>
  <si>
    <t>Changer la pochette ou le gradient d’une playlist.</t>
  </si>
  <si>
    <t>Le visuel est sauvegardé et correctement réaffiché.</t>
  </si>
  <si>
    <t>T167</t>
  </si>
  <si>
    <t>Tester rotation, arrière-plan, retour dans l’app et verrouillage.</t>
  </si>
  <si>
    <t>Aucun blocage ni perte d’état importante.</t>
  </si>
  <si>
    <t>T168</t>
  </si>
  <si>
    <t>Effectuer une écoute continue de 20 à 30 minutes.</t>
  </si>
  <si>
    <t>Aucune désynchronisation, coupure ou superposition audio durable.</t>
  </si>
  <si>
    <t>Préparation de la campagne de tests</t>
  </si>
  <si>
    <t>Environnement</t>
  </si>
  <si>
    <t>Build / commit testé</t>
  </si>
  <si>
    <t>Appareil</t>
  </si>
  <si>
    <t>Version iOS</t>
  </si>
  <si>
    <t>Serveur principal</t>
  </si>
  <si>
    <t>Connexion</t>
  </si>
  <si>
    <t>Wi‑Fi / 4G / 5G</t>
  </si>
  <si>
    <t>Casque / route audio</t>
  </si>
  <si>
    <t>Testeur</t>
  </si>
  <si>
    <t>Date de campagne</t>
  </si>
  <si>
    <t>Jeu de données recommandé</t>
  </si>
  <si>
    <t>Élément</t>
  </si>
  <si>
    <t>Référence à renseigner</t>
  </si>
  <si>
    <t>But</t>
  </si>
  <si>
    <t>Obligatoire</t>
  </si>
  <si>
    <t>File de 3 morceaux</t>
  </si>
  <si>
    <t>Transitions, navigation et fin de file</t>
  </si>
  <si>
    <t>Oui</t>
  </si>
  <si>
    <t>Morceau à durée problématique</t>
  </si>
  <si>
    <t>Régression du curseur arrivé à la fin</t>
  </si>
  <si>
    <t>Album réellement gapless</t>
  </si>
  <si>
    <t>Continuité et trim des silences</t>
  </si>
  <si>
    <t>Deux pistes avec ReplayGain différent</t>
  </si>
  <si>
    <t>Normalisation et crossfade</t>
  </si>
  <si>
    <t>Piste sans ReplayGain</t>
  </si>
  <si>
    <t>Comportement de repli</t>
  </si>
  <si>
    <t>Album et playlists partageant des pistes</t>
  </si>
  <si>
    <t>Référencement offline</t>
  </si>
  <si>
    <t>Radio internet externe</t>
  </si>
  <si>
    <t>Commandes live et isolation des headers</t>
  </si>
  <si>
    <t>Gros fichier original</t>
  </si>
  <si>
    <t>Timeout de téléchargement</t>
  </si>
  <si>
    <t>Recommandé</t>
  </si>
  <si>
    <t>Isolation des données locales</t>
  </si>
  <si>
    <t>Optionnel</t>
  </si>
  <si>
    <t>AirPods / casque Bluetooth</t>
  </si>
  <si>
    <t>Routes et interruptions</t>
  </si>
  <si>
    <t>Filtres Console utiles</t>
  </si>
  <si>
    <t>[SEEK]   [CROSSFADE]   [REPLAYGAIN]   [STATS]   [TRANSITION]</t>
  </si>
  <si>
    <t>Commencer par les P0, puis Téléchargements / Offline partagé, Restauration, et enfin P1 / P2.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</si>
</sst>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name val="Carlito"/>
    </font>
    <font>
      <b/>
      <sz val="20"/>
      <color rgb="FFFFFFFF"/>
      <name val="Carlito"/>
    </font>
    <font>
      <i/>
      <sz val="11"/>
      <color rgb="FF0F766E"/>
      <name val="Carlito"/>
    </font>
    <font>
      <b/>
      <sz val="11"/>
      <color rgb="FFFFFFFF"/>
      <name val="Carlito"/>
    </font>
    <font>
      <sz val="10"/>
      <color rgb="FF1E293B"/>
      <name val="Carlito"/>
    </font>
    <font>
      <b/>
      <sz val="20"/>
      <color rgb="FF1E293B"/>
      <name val="Carlito"/>
    </font>
    <font>
      <b/>
      <sz val="20"/>
      <color rgb="FF64748B"/>
      <name val="Carlito"/>
    </font>
    <font>
      <b/>
      <sz val="20"/>
      <color rgb="FF15803D"/>
      <name val="Carlito"/>
    </font>
    <font>
      <b/>
      <sz val="20"/>
      <color rgb="FF0F766E"/>
      <name val="Carlito"/>
    </font>
    <font>
      <b/>
      <sz val="11"/>
      <color rgb="FF0F172A"/>
      <name val="Carlito"/>
    </font>
    <font>
      <sz val="11"/>
      <color rgb="FF0F766E"/>
      <name val="Carlito"/>
    </font>
    <font>
      <b/>
      <sz val="11"/>
      <color rgb="FF1E293B"/>
      <name val="Carlito"/>
    </font>
    <font>
      <sz val="11"/>
      <color rgb="FF1E293B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64748B"/>
      </patternFill>
    </fill>
    <fill>
      <patternFill patternType="solid">
        <fgColor rgb="FF15803D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20">
    <border>
      <left/>
      <right/>
      <top/>
      <bottom/>
      <diagonal/>
    </border>
    <border>
      <left style="thin">
        <color rgb="FF1E293B"/>
      </left>
      <right/>
      <top style="thin">
        <color rgb="FF1E293B"/>
      </top>
      <bottom/>
      <diagonal/>
    </border>
    <border>
      <left/>
      <right style="thin">
        <color rgb="FF1E293B"/>
      </right>
      <top style="thin">
        <color rgb="FF1E293B"/>
      </top>
      <bottom/>
      <diagonal/>
    </border>
    <border>
      <left style="thin">
        <color rgb="FF1E293B"/>
      </left>
      <right/>
      <top/>
      <bottom style="thin">
        <color rgb="FF1E293B"/>
      </bottom>
      <diagonal/>
    </border>
    <border>
      <left/>
      <right style="thin">
        <color rgb="FF1E293B"/>
      </right>
      <top/>
      <bottom style="thin">
        <color rgb="FF1E293B"/>
      </bottom>
      <diagonal/>
    </border>
    <border>
      <left style="thin">
        <color rgb="FF64748B"/>
      </left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rgb="FF15803D"/>
      </left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 style="thin">
        <color rgb="FF0F766E"/>
      </left>
      <right/>
      <top style="thin">
        <color rgb="FF0F766E"/>
      </top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 style="thin">
        <color rgb="FF0F766E"/>
      </left>
      <right/>
      <top/>
      <bottom style="thin">
        <color rgb="FF0F766E"/>
      </bottom>
      <diagonal/>
    </border>
    <border>
      <left/>
      <right style="thin">
        <color rgb="FF0F766E"/>
      </right>
      <top/>
      <bottom style="thin">
        <color rgb="FF0F766E"/>
      </bottom>
      <diagonal/>
    </border>
    <border>
      <left style="thin">
        <color rgb="FF0F766E"/>
      </left>
      <right/>
      <top/>
      <bottom/>
      <diagonal/>
    </border>
    <border>
      <left/>
      <right style="thin">
        <color rgb="FF0F766E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9" fillId="9" borderId="19" xfId="0" applyFont="1" applyFill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11" fillId="10" borderId="19" xfId="0" applyFont="1" applyFill="1" applyBorder="1"/>
    <xf numFmtId="0" fontId="12" fillId="11" borderId="19" xfId="0" applyFont="1" applyFill="1" applyBorder="1"/>
    <xf numFmtId="164" fontId="12" fillId="11" borderId="19" xfId="0" applyNumberFormat="1" applyFont="1" applyFill="1" applyBorder="1"/>
    <xf numFmtId="0" fontId="0" fillId="0" borderId="19" xfId="0" applyBorder="1" applyAlignment="1">
      <alignment vertical="top" wrapText="1"/>
    </xf>
    <xf numFmtId="0" fontId="0" fillId="11" borderId="19" xfId="0" applyFill="1" applyBorder="1" applyAlignment="1">
      <alignment vertical="top" wrapText="1"/>
    </xf>
    <xf numFmtId="0" fontId="0" fillId="0" borderId="19" xfId="0" applyBorder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9" fontId="8" fillId="6" borderId="13" xfId="0" applyNumberFormat="1" applyFont="1" applyFill="1" applyBorder="1" applyAlignment="1">
      <alignment horizontal="center" vertical="center"/>
    </xf>
    <xf numFmtId="9" fontId="8" fillId="6" borderId="14" xfId="0" applyNumberFormat="1" applyFont="1" applyFill="1" applyBorder="1" applyAlignment="1">
      <alignment horizontal="center" vertical="center"/>
    </xf>
    <xf numFmtId="9" fontId="8" fillId="6" borderId="15" xfId="0" applyNumberFormat="1" applyFont="1" applyFill="1" applyBorder="1" applyAlignment="1">
      <alignment horizontal="center" vertical="center"/>
    </xf>
    <xf numFmtId="9" fontId="8" fillId="6" borderId="16" xfId="0" applyNumberFormat="1" applyFont="1" applyFill="1" applyBorder="1" applyAlignment="1">
      <alignment horizontal="center" vertic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4" borderId="0" xfId="0" applyFont="1" applyFill="1"/>
    <xf numFmtId="0" fontId="10" fillId="3" borderId="13" xfId="0" applyFont="1" applyFill="1" applyBorder="1" applyAlignment="1">
      <alignment vertical="top" wrapText="1"/>
    </xf>
    <xf numFmtId="0" fontId="10" fillId="3" borderId="14" xfId="0" applyFont="1" applyFill="1" applyBorder="1" applyAlignment="1">
      <alignment vertical="top" wrapText="1"/>
    </xf>
    <xf numFmtId="0" fontId="10" fillId="3" borderId="17" xfId="0" applyFont="1" applyFill="1" applyBorder="1" applyAlignment="1">
      <alignment vertical="top" wrapText="1"/>
    </xf>
    <xf numFmtId="0" fontId="10" fillId="3" borderId="18" xfId="0" applyFont="1" applyFill="1" applyBorder="1" applyAlignment="1">
      <alignment vertical="top" wrapText="1"/>
    </xf>
    <xf numFmtId="0" fontId="10" fillId="3" borderId="15" xfId="0" applyFont="1" applyFill="1" applyBorder="1" applyAlignment="1">
      <alignment vertical="top" wrapText="1"/>
    </xf>
    <xf numFmtId="0" fontId="10" fillId="3" borderId="16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</cellXfs>
  <cellStyles count="1">
    <cellStyle name="Normal" xfId="0" builtinId="0"/>
  </cellStyles>
  <dxfs count="9">
    <dxf>
      <font>
        <color rgb="FF6D28D9"/>
      </font>
      <fill>
        <patternFill patternType="solid">
          <bgColor rgb="FFEDE9FE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5803D"/>
      </font>
      <fill>
        <patternFill patternType="solid">
          <bgColor rgb="FFDCFCE7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color rgb="FF64748B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sTable" displayName="ManualTestsTable" ref="A4:I172" totalsRowShown="0">
  <autoFilter ref="A4:I172" xr:uid="{00000000-0009-0000-0100-000001000000}"/>
  <tableColumns count="9">
    <tableColumn id="1" xr3:uid="{00000000-0010-0000-0000-000001000000}" name="ID"/>
    <tableColumn id="2" xr3:uid="{00000000-0010-0000-0000-000002000000}" name="Priorité"/>
    <tableColumn id="3" xr3:uid="{00000000-0010-0000-0000-000003000000}" name="Catégorie"/>
    <tableColumn id="4" xr3:uid="{00000000-0010-0000-0000-000004000000}" name="Test manuel"/>
    <tableColumn id="5" xr3:uid="{00000000-0010-0000-0000-000005000000}" name="Résultat attendu"/>
    <tableColumn id="6" xr3:uid="{00000000-0010-0000-0000-000006000000}" name="Configuration / Source"/>
    <tableColumn id="7" xr3:uid="{00000000-0010-0000-0000-000007000000}" name="Statut"/>
    <tableColumn id="8" xr3:uid="{00000000-0010-0000-0000-000008000000}" name="Notes / anomalie"/>
    <tableColumn id="9" xr3:uid="{00000000-0010-0000-0000-000009000000}" name="Date du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workbookViewId="0">
      <selection sqref="A1:H1"/>
    </sheetView>
  </sheetViews>
  <sheetFormatPr baseColWidth="10" defaultColWidth="8.83203125" defaultRowHeight="14"/>
  <cols>
    <col min="1" max="1" width="23.33203125" customWidth="1"/>
    <col min="2" max="6" width="10.1640625" customWidth="1"/>
    <col min="7" max="8" width="16.6640625" customWidth="1"/>
  </cols>
  <sheetData>
    <row r="1" spans="1:8" ht="31.5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22.5" customHeight="1">
      <c r="A2" s="16" t="s">
        <v>1</v>
      </c>
      <c r="B2" s="16"/>
      <c r="C2" s="16"/>
      <c r="D2" s="16"/>
      <c r="E2" s="16"/>
      <c r="F2" s="16"/>
      <c r="G2" s="16"/>
      <c r="H2" s="16"/>
    </row>
    <row r="4" spans="1:8" ht="15">
      <c r="A4" s="17" t="s">
        <v>2</v>
      </c>
      <c r="B4" s="17"/>
      <c r="C4" s="22" t="s">
        <v>3</v>
      </c>
      <c r="D4" s="22"/>
      <c r="E4" s="27" t="s">
        <v>4</v>
      </c>
      <c r="F4" s="27"/>
      <c r="G4" s="32" t="s">
        <v>5</v>
      </c>
      <c r="H4" s="32"/>
    </row>
    <row r="5" spans="1:8">
      <c r="A5" s="18">
        <f>COUNTA(Checklist!$A$5:$A$172)</f>
        <v>168</v>
      </c>
      <c r="B5" s="19"/>
      <c r="C5" s="23">
        <f>COUNTIF(Checklist!$G$5:$G$172,"À tester")</f>
        <v>168</v>
      </c>
      <c r="D5" s="24"/>
      <c r="E5" s="28">
        <f>COUNTIF(Checklist!$G$5:$G$172,"OK")</f>
        <v>0</v>
      </c>
      <c r="F5" s="29"/>
      <c r="G5" s="33">
        <f>IF(COUNTA(Checklist!$A$5:$A$172)=0,0,(COUNTA(Checklist!$A$5:$A$172)-COUNTIF(Checklist!$G$5:$G$172,"À tester"))/COUNTA(Checklist!$A$5:$A$172))</f>
        <v>0</v>
      </c>
      <c r="H5" s="34"/>
    </row>
    <row r="6" spans="1:8">
      <c r="A6" s="20"/>
      <c r="B6" s="21"/>
      <c r="C6" s="25"/>
      <c r="D6" s="26"/>
      <c r="E6" s="30"/>
      <c r="F6" s="31"/>
      <c r="G6" s="35"/>
      <c r="H6" s="36"/>
    </row>
    <row r="9" spans="1:8" ht="15">
      <c r="A9" s="37" t="s">
        <v>6</v>
      </c>
      <c r="B9" s="37"/>
      <c r="C9" s="37"/>
      <c r="D9" s="37"/>
      <c r="F9" s="37" t="s">
        <v>7</v>
      </c>
      <c r="G9" s="37"/>
      <c r="H9" s="37"/>
    </row>
    <row r="10" spans="1:8" ht="15">
      <c r="A10" s="5" t="s">
        <v>8</v>
      </c>
      <c r="B10" s="5" t="s">
        <v>9</v>
      </c>
      <c r="C10" s="5" t="s">
        <v>10</v>
      </c>
      <c r="D10" s="5" t="s">
        <v>5</v>
      </c>
      <c r="F10" s="5" t="s">
        <v>11</v>
      </c>
      <c r="G10" s="5" t="s">
        <v>12</v>
      </c>
    </row>
    <row r="11" spans="1:8">
      <c r="A11" s="7" t="s">
        <v>13</v>
      </c>
      <c r="B11" s="7">
        <f>COUNTIF(Checklist!$B$5:$B$172,A11)</f>
        <v>71</v>
      </c>
      <c r="C11" s="7">
        <f>COUNTIFS(Checklist!$B$5:$B$172,A11,Checklist!$G$5:$G$172,"OK")</f>
        <v>0</v>
      </c>
      <c r="D11" s="8">
        <f>IF(B11=0,0,(B11-COUNTIFS(Checklist!$B$5:$B$172,A11,Checklist!$G$5:$G$172,"À tester"))/B11)</f>
        <v>0</v>
      </c>
      <c r="F11" s="7" t="s">
        <v>3</v>
      </c>
      <c r="G11" s="7">
        <f>COUNTIF(Checklist!$G$5:$G$172,F11)</f>
        <v>168</v>
      </c>
    </row>
    <row r="12" spans="1:8">
      <c r="A12" s="7" t="s">
        <v>14</v>
      </c>
      <c r="B12" s="7">
        <f>COUNTIF(Checklist!$B$5:$B$172,A12)</f>
        <v>68</v>
      </c>
      <c r="C12" s="7">
        <f>COUNTIFS(Checklist!$B$5:$B$172,A12,Checklist!$G$5:$G$172,"OK")</f>
        <v>0</v>
      </c>
      <c r="D12" s="8">
        <f>IF(B12=0,0,(B12-COUNTIFS(Checklist!$B$5:$B$172,A12,Checklist!$G$5:$G$172,"À tester"))/B12)</f>
        <v>0</v>
      </c>
      <c r="F12" s="7" t="s">
        <v>15</v>
      </c>
      <c r="G12" s="7">
        <f>COUNTIF(Checklist!$G$5:$G$172,F12)</f>
        <v>0</v>
      </c>
    </row>
    <row r="13" spans="1:8">
      <c r="A13" s="7" t="s">
        <v>16</v>
      </c>
      <c r="B13" s="7">
        <f>COUNTIF(Checklist!$B$5:$B$172,A13)</f>
        <v>29</v>
      </c>
      <c r="C13" s="7">
        <f>COUNTIFS(Checklist!$B$5:$B$172,A13,Checklist!$G$5:$G$172,"OK")</f>
        <v>0</v>
      </c>
      <c r="D13" s="8">
        <f>IF(B13=0,0,(B13-COUNTIFS(Checklist!$B$5:$B$172,A13,Checklist!$G$5:$G$172,"À tester"))/B13)</f>
        <v>0</v>
      </c>
      <c r="F13" s="7" t="s">
        <v>10</v>
      </c>
      <c r="G13" s="7">
        <f>COUNTIF(Checklist!$G$5:$G$172,F13)</f>
        <v>0</v>
      </c>
    </row>
    <row r="14" spans="1:8">
      <c r="F14" s="7" t="s">
        <v>17</v>
      </c>
      <c r="G14" s="7">
        <f>COUNTIF(Checklist!$G$5:$G$172,F14)</f>
        <v>0</v>
      </c>
    </row>
    <row r="15" spans="1:8">
      <c r="F15" s="7" t="s">
        <v>18</v>
      </c>
      <c r="G15" s="7">
        <f>COUNTIF(Checklist!$G$5:$G$172,F15)</f>
        <v>0</v>
      </c>
    </row>
    <row r="16" spans="1:8">
      <c r="F16" s="7" t="s">
        <v>19</v>
      </c>
      <c r="G16" s="7">
        <f>COUNTIF(Checklist!$G$5:$G$172,F16)</f>
        <v>0</v>
      </c>
    </row>
    <row r="18" spans="1:8" ht="18" customHeight="1">
      <c r="A18" s="37" t="s">
        <v>20</v>
      </c>
      <c r="B18" s="38"/>
      <c r="C18" s="38"/>
      <c r="D18" s="38"/>
      <c r="E18" s="38"/>
      <c r="F18" s="38"/>
      <c r="G18" s="39" t="s">
        <v>21</v>
      </c>
      <c r="H18" s="39"/>
    </row>
    <row r="19" spans="1:8" ht="18" customHeight="1">
      <c r="A19" s="5" t="s">
        <v>22</v>
      </c>
      <c r="B19" s="5" t="s">
        <v>9</v>
      </c>
      <c r="C19" s="5" t="s">
        <v>10</v>
      </c>
      <c r="D19" s="5" t="s">
        <v>17</v>
      </c>
      <c r="E19" s="5" t="s">
        <v>18</v>
      </c>
      <c r="F19" s="5" t="s">
        <v>23</v>
      </c>
      <c r="G19" s="40" t="s">
        <v>24</v>
      </c>
      <c r="H19" s="41"/>
    </row>
    <row r="20" spans="1:8" ht="18" customHeight="1">
      <c r="A20" s="6" t="s">
        <v>25</v>
      </c>
      <c r="B20" s="7">
        <f>COUNTIF(Checklist!$C$5:$C$172,A20)</f>
        <v>12</v>
      </c>
      <c r="C20" s="7">
        <f>COUNTIFS(Checklist!$C$5:$C$172,A20,Checklist!$G$5:$G$172,"OK")</f>
        <v>0</v>
      </c>
      <c r="D20" s="7">
        <f>COUNTIFS(Checklist!$C$5:$C$172,A20,Checklist!$G$5:$G$172,"Échec")</f>
        <v>0</v>
      </c>
      <c r="E20" s="7">
        <f>COUNTIFS(Checklist!$C$5:$C$172,A20,Checklist!$G$5:$G$172,"Bloqué")</f>
        <v>0</v>
      </c>
      <c r="F20" s="8">
        <f>IF(B20=0,0,(B20-COUNTIFS(Checklist!$C$5:$C$172,A20,Checklist!$G$5:$G$172,"À tester"))/B20)</f>
        <v>0</v>
      </c>
      <c r="G20" s="42"/>
      <c r="H20" s="43"/>
    </row>
    <row r="21" spans="1:8" ht="18" customHeight="1">
      <c r="A21" s="6" t="s">
        <v>26</v>
      </c>
      <c r="B21" s="7">
        <f>COUNTIF(Checklist!$C$5:$C$172,A21)</f>
        <v>9</v>
      </c>
      <c r="C21" s="7">
        <f>COUNTIFS(Checklist!$C$5:$C$172,A21,Checklist!$G$5:$G$172,"OK")</f>
        <v>0</v>
      </c>
      <c r="D21" s="7">
        <f>COUNTIFS(Checklist!$C$5:$C$172,A21,Checklist!$G$5:$G$172,"Échec")</f>
        <v>0</v>
      </c>
      <c r="E21" s="7">
        <f>COUNTIFS(Checklist!$C$5:$C$172,A21,Checklist!$G$5:$G$172,"Bloqué")</f>
        <v>0</v>
      </c>
      <c r="F21" s="8">
        <f>IF(B21=0,0,(B21-COUNTIFS(Checklist!$C$5:$C$172,A21,Checklist!$G$5:$G$172,"À tester"))/B21)</f>
        <v>0</v>
      </c>
      <c r="G21" s="42"/>
      <c r="H21" s="43"/>
    </row>
    <row r="22" spans="1:8" ht="18" customHeight="1">
      <c r="A22" s="6" t="s">
        <v>27</v>
      </c>
      <c r="B22" s="7">
        <f>COUNTIF(Checklist!$C$5:$C$172,A22)</f>
        <v>10</v>
      </c>
      <c r="C22" s="7">
        <f>COUNTIFS(Checklist!$C$5:$C$172,A22,Checklist!$G$5:$G$172,"OK")</f>
        <v>0</v>
      </c>
      <c r="D22" s="7">
        <f>COUNTIFS(Checklist!$C$5:$C$172,A22,Checklist!$G$5:$G$172,"Échec")</f>
        <v>0</v>
      </c>
      <c r="E22" s="7">
        <f>COUNTIFS(Checklist!$C$5:$C$172,A22,Checklist!$G$5:$G$172,"Bloqué")</f>
        <v>0</v>
      </c>
      <c r="F22" s="8">
        <f>IF(B22=0,0,(B22-COUNTIFS(Checklist!$C$5:$C$172,A22,Checklist!$G$5:$G$172,"À tester"))/B22)</f>
        <v>0</v>
      </c>
      <c r="G22" s="42"/>
      <c r="H22" s="43"/>
    </row>
    <row r="23" spans="1:8" ht="18" customHeight="1">
      <c r="A23" s="6" t="s">
        <v>28</v>
      </c>
      <c r="B23" s="7">
        <f>COUNTIF(Checklist!$C$5:$C$172,A23)</f>
        <v>8</v>
      </c>
      <c r="C23" s="7">
        <f>COUNTIFS(Checklist!$C$5:$C$172,A23,Checklist!$G$5:$G$172,"OK")</f>
        <v>0</v>
      </c>
      <c r="D23" s="7">
        <f>COUNTIFS(Checklist!$C$5:$C$172,A23,Checklist!$G$5:$G$172,"Échec")</f>
        <v>0</v>
      </c>
      <c r="E23" s="7">
        <f>COUNTIFS(Checklist!$C$5:$C$172,A23,Checklist!$G$5:$G$172,"Bloqué")</f>
        <v>0</v>
      </c>
      <c r="F23" s="8">
        <f>IF(B23=0,0,(B23-COUNTIFS(Checklist!$C$5:$C$172,A23,Checklist!$G$5:$G$172,"À tester"))/B23)</f>
        <v>0</v>
      </c>
      <c r="G23" s="42"/>
      <c r="H23" s="43"/>
    </row>
    <row r="24" spans="1:8" ht="18" customHeight="1">
      <c r="A24" s="6" t="s">
        <v>29</v>
      </c>
      <c r="B24" s="7">
        <f>COUNTIF(Checklist!$C$5:$C$172,A24)</f>
        <v>11</v>
      </c>
      <c r="C24" s="7">
        <f>COUNTIFS(Checklist!$C$5:$C$172,A24,Checklist!$G$5:$G$172,"OK")</f>
        <v>0</v>
      </c>
      <c r="D24" s="7">
        <f>COUNTIFS(Checklist!$C$5:$C$172,A24,Checklist!$G$5:$G$172,"Échec")</f>
        <v>0</v>
      </c>
      <c r="E24" s="7">
        <f>COUNTIFS(Checklist!$C$5:$C$172,A24,Checklist!$G$5:$G$172,"Bloqué")</f>
        <v>0</v>
      </c>
      <c r="F24" s="8">
        <f>IF(B24=0,0,(B24-COUNTIFS(Checklist!$C$5:$C$172,A24,Checklist!$G$5:$G$172,"À tester"))/B24)</f>
        <v>0</v>
      </c>
      <c r="G24" s="42"/>
      <c r="H24" s="43"/>
    </row>
    <row r="25" spans="1:8" ht="18" customHeight="1">
      <c r="A25" s="6" t="s">
        <v>30</v>
      </c>
      <c r="B25" s="7">
        <f>COUNTIF(Checklist!$C$5:$C$172,A25)</f>
        <v>8</v>
      </c>
      <c r="C25" s="7">
        <f>COUNTIFS(Checklist!$C$5:$C$172,A25,Checklist!$G$5:$G$172,"OK")</f>
        <v>0</v>
      </c>
      <c r="D25" s="7">
        <f>COUNTIFS(Checklist!$C$5:$C$172,A25,Checklist!$G$5:$G$172,"Échec")</f>
        <v>0</v>
      </c>
      <c r="E25" s="7">
        <f>COUNTIFS(Checklist!$C$5:$C$172,A25,Checklist!$G$5:$G$172,"Bloqué")</f>
        <v>0</v>
      </c>
      <c r="F25" s="8">
        <f>IF(B25=0,0,(B25-COUNTIFS(Checklist!$C$5:$C$172,A25,Checklist!$G$5:$G$172,"À tester"))/B25)</f>
        <v>0</v>
      </c>
      <c r="G25" s="44"/>
      <c r="H25" s="45"/>
    </row>
    <row r="26" spans="1:8" ht="18" customHeight="1">
      <c r="A26" s="6" t="s">
        <v>31</v>
      </c>
      <c r="B26" s="7">
        <f>COUNTIF(Checklist!$C$5:$C$172,A26)</f>
        <v>13</v>
      </c>
      <c r="C26" s="7">
        <f>COUNTIFS(Checklist!$C$5:$C$172,A26,Checklist!$G$5:$G$172,"OK")</f>
        <v>0</v>
      </c>
      <c r="D26" s="7">
        <f>COUNTIFS(Checklist!$C$5:$C$172,A26,Checklist!$G$5:$G$172,"Échec")</f>
        <v>0</v>
      </c>
      <c r="E26" s="7">
        <f>COUNTIFS(Checklist!$C$5:$C$172,A26,Checklist!$G$5:$G$172,"Bloqué")</f>
        <v>0</v>
      </c>
      <c r="F26" s="8">
        <f>IF(B26=0,0,(B26-COUNTIFS(Checklist!$C$5:$C$172,A26,Checklist!$G$5:$G$172,"À tester"))/B26)</f>
        <v>0</v>
      </c>
    </row>
    <row r="27" spans="1:8" ht="18" customHeight="1">
      <c r="A27" s="6" t="s">
        <v>32</v>
      </c>
      <c r="B27" s="7">
        <f>COUNTIF(Checklist!$C$5:$C$172,A27)</f>
        <v>10</v>
      </c>
      <c r="C27" s="7">
        <f>COUNTIFS(Checklist!$C$5:$C$172,A27,Checklist!$G$5:$G$172,"OK")</f>
        <v>0</v>
      </c>
      <c r="D27" s="7">
        <f>COUNTIFS(Checklist!$C$5:$C$172,A27,Checklist!$G$5:$G$172,"Échec")</f>
        <v>0</v>
      </c>
      <c r="E27" s="7">
        <f>COUNTIFS(Checklist!$C$5:$C$172,A27,Checklist!$G$5:$G$172,"Bloqué")</f>
        <v>0</v>
      </c>
      <c r="F27" s="8">
        <f>IF(B27=0,0,(B27-COUNTIFS(Checklist!$C$5:$C$172,A27,Checklist!$G$5:$G$172,"À tester"))/B27)</f>
        <v>0</v>
      </c>
    </row>
    <row r="28" spans="1:8" ht="18" customHeight="1">
      <c r="A28" s="6" t="s">
        <v>33</v>
      </c>
      <c r="B28" s="7">
        <f>COUNTIF(Checklist!$C$5:$C$172,A28)</f>
        <v>11</v>
      </c>
      <c r="C28" s="7">
        <f>COUNTIFS(Checklist!$C$5:$C$172,A28,Checklist!$G$5:$G$172,"OK")</f>
        <v>0</v>
      </c>
      <c r="D28" s="7">
        <f>COUNTIFS(Checklist!$C$5:$C$172,A28,Checklist!$G$5:$G$172,"Échec")</f>
        <v>0</v>
      </c>
      <c r="E28" s="7">
        <f>COUNTIFS(Checklist!$C$5:$C$172,A28,Checklist!$G$5:$G$172,"Bloqué")</f>
        <v>0</v>
      </c>
      <c r="F28" s="8">
        <f>IF(B28=0,0,(B28-COUNTIFS(Checklist!$C$5:$C$172,A28,Checklist!$G$5:$G$172,"À tester"))/B28)</f>
        <v>0</v>
      </c>
    </row>
    <row r="29" spans="1:8" ht="18" customHeight="1">
      <c r="A29" s="6" t="s">
        <v>34</v>
      </c>
      <c r="B29" s="7">
        <f>COUNTIF(Checklist!$C$5:$C$172,A29)</f>
        <v>8</v>
      </c>
      <c r="C29" s="7">
        <f>COUNTIFS(Checklist!$C$5:$C$172,A29,Checklist!$G$5:$G$172,"OK")</f>
        <v>0</v>
      </c>
      <c r="D29" s="7">
        <f>COUNTIFS(Checklist!$C$5:$C$172,A29,Checklist!$G$5:$G$172,"Échec")</f>
        <v>0</v>
      </c>
      <c r="E29" s="7">
        <f>COUNTIFS(Checklist!$C$5:$C$172,A29,Checklist!$G$5:$G$172,"Bloqué")</f>
        <v>0</v>
      </c>
      <c r="F29" s="8">
        <f>IF(B29=0,0,(B29-COUNTIFS(Checklist!$C$5:$C$172,A29,Checklist!$G$5:$G$172,"À tester"))/B29)</f>
        <v>0</v>
      </c>
    </row>
    <row r="30" spans="1:8" ht="18" customHeight="1">
      <c r="A30" s="6" t="s">
        <v>35</v>
      </c>
      <c r="B30" s="7">
        <f>COUNTIF(Checklist!$C$5:$C$172,A30)</f>
        <v>12</v>
      </c>
      <c r="C30" s="7">
        <f>COUNTIFS(Checklist!$C$5:$C$172,A30,Checklist!$G$5:$G$172,"OK")</f>
        <v>0</v>
      </c>
      <c r="D30" s="7">
        <f>COUNTIFS(Checklist!$C$5:$C$172,A30,Checklist!$G$5:$G$172,"Échec")</f>
        <v>0</v>
      </c>
      <c r="E30" s="7">
        <f>COUNTIFS(Checklist!$C$5:$C$172,A30,Checklist!$G$5:$G$172,"Bloqué")</f>
        <v>0</v>
      </c>
      <c r="F30" s="8">
        <f>IF(B30=0,0,(B30-COUNTIFS(Checklist!$C$5:$C$172,A30,Checklist!$G$5:$G$172,"À tester"))/B30)</f>
        <v>0</v>
      </c>
    </row>
    <row r="31" spans="1:8" ht="18" customHeight="1">
      <c r="A31" s="6" t="s">
        <v>36</v>
      </c>
      <c r="B31" s="7">
        <f>COUNTIF(Checklist!$C$5:$C$172,A31)</f>
        <v>7</v>
      </c>
      <c r="C31" s="7">
        <f>COUNTIFS(Checklist!$C$5:$C$172,A31,Checklist!$G$5:$G$172,"OK")</f>
        <v>0</v>
      </c>
      <c r="D31" s="7">
        <f>COUNTIFS(Checklist!$C$5:$C$172,A31,Checklist!$G$5:$G$172,"Échec")</f>
        <v>0</v>
      </c>
      <c r="E31" s="7">
        <f>COUNTIFS(Checklist!$C$5:$C$172,A31,Checklist!$G$5:$G$172,"Bloqué")</f>
        <v>0</v>
      </c>
      <c r="F31" s="8">
        <f>IF(B31=0,0,(B31-COUNTIFS(Checklist!$C$5:$C$172,A31,Checklist!$G$5:$G$172,"À tester"))/B31)</f>
        <v>0</v>
      </c>
    </row>
    <row r="32" spans="1:8" ht="18" customHeight="1">
      <c r="A32" s="6" t="s">
        <v>37</v>
      </c>
      <c r="B32" s="7">
        <f>COUNTIF(Checklist!$C$5:$C$172,A32)</f>
        <v>8</v>
      </c>
      <c r="C32" s="7">
        <f>COUNTIFS(Checklist!$C$5:$C$172,A32,Checklist!$G$5:$G$172,"OK")</f>
        <v>0</v>
      </c>
      <c r="D32" s="7">
        <f>COUNTIFS(Checklist!$C$5:$C$172,A32,Checklist!$G$5:$G$172,"Échec")</f>
        <v>0</v>
      </c>
      <c r="E32" s="7">
        <f>COUNTIFS(Checklist!$C$5:$C$172,A32,Checklist!$G$5:$G$172,"Bloqué")</f>
        <v>0</v>
      </c>
      <c r="F32" s="8">
        <f>IF(B32=0,0,(B32-COUNTIFS(Checklist!$C$5:$C$172,A32,Checklist!$G$5:$G$172,"À tester"))/B32)</f>
        <v>0</v>
      </c>
    </row>
    <row r="33" spans="1:6" ht="18" customHeight="1">
      <c r="A33" s="6" t="s">
        <v>38</v>
      </c>
      <c r="B33" s="7">
        <f>COUNTIF(Checklist!$C$5:$C$172,A33)</f>
        <v>12</v>
      </c>
      <c r="C33" s="7">
        <f>COUNTIFS(Checklist!$C$5:$C$172,A33,Checklist!$G$5:$G$172,"OK")</f>
        <v>0</v>
      </c>
      <c r="D33" s="7">
        <f>COUNTIFS(Checklist!$C$5:$C$172,A33,Checklist!$G$5:$G$172,"Échec")</f>
        <v>0</v>
      </c>
      <c r="E33" s="7">
        <f>COUNTIFS(Checklist!$C$5:$C$172,A33,Checklist!$G$5:$G$172,"Bloqué")</f>
        <v>0</v>
      </c>
      <c r="F33" s="8">
        <f>IF(B33=0,0,(B33-COUNTIFS(Checklist!$C$5:$C$172,A33,Checklist!$G$5:$G$172,"À tester"))/B33)</f>
        <v>0</v>
      </c>
    </row>
    <row r="34" spans="1:6" ht="18" customHeight="1">
      <c r="A34" s="6" t="s">
        <v>39</v>
      </c>
      <c r="B34" s="7">
        <f>COUNTIF(Checklist!$C$5:$C$172,A34)</f>
        <v>8</v>
      </c>
      <c r="C34" s="7">
        <f>COUNTIFS(Checklist!$C$5:$C$172,A34,Checklist!$G$5:$G$172,"OK")</f>
        <v>0</v>
      </c>
      <c r="D34" s="7">
        <f>COUNTIFS(Checklist!$C$5:$C$172,A34,Checklist!$G$5:$G$172,"Échec")</f>
        <v>0</v>
      </c>
      <c r="E34" s="7">
        <f>COUNTIFS(Checklist!$C$5:$C$172,A34,Checklist!$G$5:$G$172,"Bloqué")</f>
        <v>0</v>
      </c>
      <c r="F34" s="8">
        <f>IF(B34=0,0,(B34-COUNTIFS(Checklist!$C$5:$C$172,A34,Checklist!$G$5:$G$172,"À tester"))/B34)</f>
        <v>0</v>
      </c>
    </row>
    <row r="35" spans="1:6" ht="18" customHeight="1">
      <c r="A35" s="6" t="s">
        <v>40</v>
      </c>
      <c r="B35" s="7">
        <f>COUNTIF(Checklist!$C$5:$C$172,A35)</f>
        <v>6</v>
      </c>
      <c r="C35" s="7">
        <f>COUNTIFS(Checklist!$C$5:$C$172,A35,Checklist!$G$5:$G$172,"OK")</f>
        <v>0</v>
      </c>
      <c r="D35" s="7">
        <f>COUNTIFS(Checklist!$C$5:$C$172,A35,Checklist!$G$5:$G$172,"Échec")</f>
        <v>0</v>
      </c>
      <c r="E35" s="7">
        <f>COUNTIFS(Checklist!$C$5:$C$172,A35,Checklist!$G$5:$G$172,"Bloqué")</f>
        <v>0</v>
      </c>
      <c r="F35" s="8">
        <f>IF(B35=0,0,(B35-COUNTIFS(Checklist!$C$5:$C$172,A35,Checklist!$G$5:$G$172,"À tester"))/B35)</f>
        <v>0</v>
      </c>
    </row>
    <row r="36" spans="1:6" ht="18" customHeight="1">
      <c r="A36" s="6" t="s">
        <v>41</v>
      </c>
      <c r="B36" s="7">
        <f>COUNTIF(Checklist!$C$5:$C$172,A36)</f>
        <v>7</v>
      </c>
      <c r="C36" s="7">
        <f>COUNTIFS(Checklist!$C$5:$C$172,A36,Checklist!$G$5:$G$172,"OK")</f>
        <v>0</v>
      </c>
      <c r="D36" s="7">
        <f>COUNTIFS(Checklist!$C$5:$C$172,A36,Checklist!$G$5:$G$172,"Échec")</f>
        <v>0</v>
      </c>
      <c r="E36" s="7">
        <f>COUNTIFS(Checklist!$C$5:$C$172,A36,Checklist!$G$5:$G$172,"Bloqué")</f>
        <v>0</v>
      </c>
      <c r="F36" s="8">
        <f>IF(B36=0,0,(B36-COUNTIFS(Checklist!$C$5:$C$172,A36,Checklist!$G$5:$G$172,"À tester"))/B36)</f>
        <v>0</v>
      </c>
    </row>
    <row r="37" spans="1:6" ht="18" customHeight="1">
      <c r="A37" s="6" t="s">
        <v>42</v>
      </c>
      <c r="B37" s="7">
        <f>COUNTIF(Checklist!$C$5:$C$172,A37)</f>
        <v>8</v>
      </c>
      <c r="C37" s="7">
        <f>COUNTIFS(Checklist!$C$5:$C$172,A37,Checklist!$G$5:$G$172,"OK")</f>
        <v>0</v>
      </c>
      <c r="D37" s="7">
        <f>COUNTIFS(Checklist!$C$5:$C$172,A37,Checklist!$G$5:$G$172,"Échec")</f>
        <v>0</v>
      </c>
      <c r="E37" s="7">
        <f>COUNTIFS(Checklist!$C$5:$C$172,A37,Checklist!$G$5:$G$172,"Bloqué")</f>
        <v>0</v>
      </c>
      <c r="F37" s="8">
        <f>IF(B37=0,0,(B37-COUNTIFS(Checklist!$C$5:$C$172,A37,Checklist!$G$5:$G$172,"À tester"))/B37)</f>
        <v>0</v>
      </c>
    </row>
  </sheetData>
  <mergeCells count="15">
    <mergeCell ref="A9:D9"/>
    <mergeCell ref="F9:H9"/>
    <mergeCell ref="A18:F18"/>
    <mergeCell ref="G18:H18"/>
    <mergeCell ref="G19:H25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conditionalFormatting sqref="D11:D13">
    <cfRule type="dataBar" priority="1">
      <dataBar>
        <cfvo type="min"/>
        <cfvo type="max"/>
        <color rgb="FF0F766E"/>
      </dataBar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{D9C29B86-FB61-1FA0-2F2F-59ADEEF94050}</x14:id>
        </ext>
      </extLst>
    </cfRule>
  </conditionalFormatting>
  <conditionalFormatting sqref="F20:F37">
    <cfRule type="dataBar" priority="2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{21A96312-D990-FCE8-56D5-8B4243A63B9F}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C29B86-FB61-1FA0-2F2F-59ADEEF94050}">
            <x14:dataBar>
              <x14:cfvo type="min"/>
              <x14:cfvo type="max"/>
              <x14:negativeFillColor auto="1"/>
              <x14:axisColor auto="1"/>
            </x14:dataBar>
          </x14:cfRule>
          <xm:sqref>D11:D13</xm:sqref>
        </x14:conditionalFormatting>
        <x14:conditionalFormatting xmlns:xm="http://schemas.microsoft.com/office/excel/2006/main">
          <x14:cfRule type="dataBar" id="{21A96312-D990-FCE8-56D5-8B4243A63B9F}">
            <x14:dataBar>
              <x14:cfvo type="min"/>
              <x14:cfvo type="max"/>
              <x14:negativeFillColor auto="1"/>
              <x14:axisColor auto="1"/>
            </x14:dataBar>
          </x14:cfRule>
          <xm:sqref>F20:F37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showGridLines="0" tabSelected="1" workbookViewId="0">
      <selection activeCell="G5" sqref="G5"/>
    </sheetView>
  </sheetViews>
  <sheetFormatPr baseColWidth="10" defaultColWidth="8.83203125" defaultRowHeight="14"/>
  <cols>
    <col min="1" max="1" width="8" customWidth="1"/>
    <col min="2" max="2" width="8.5" customWidth="1"/>
    <col min="3" max="3" width="21.1640625" customWidth="1"/>
    <col min="4" max="5" width="43.33203125" customWidth="1"/>
    <col min="6" max="6" width="22.83203125" customWidth="1"/>
    <col min="7" max="7" width="11.6640625" customWidth="1"/>
    <col min="8" max="8" width="33.33203125" customWidth="1"/>
    <col min="9" max="9" width="11.6640625" customWidth="1"/>
  </cols>
  <sheetData>
    <row r="1" spans="1:9" ht="31.5" customHeight="1">
      <c r="A1" s="46" t="s">
        <v>43</v>
      </c>
      <c r="B1" s="46"/>
      <c r="C1" s="46"/>
      <c r="D1" s="46"/>
      <c r="E1" s="46"/>
      <c r="F1" s="46"/>
      <c r="G1" s="46"/>
      <c r="H1" s="46"/>
      <c r="I1" s="46"/>
    </row>
    <row r="2" spans="1:9" ht="25.5" customHeight="1">
      <c r="A2" s="47" t="s">
        <v>44</v>
      </c>
      <c r="B2" s="47"/>
      <c r="C2" s="47"/>
      <c r="D2" s="47"/>
      <c r="E2" s="47"/>
      <c r="F2" s="47"/>
      <c r="G2" s="47"/>
      <c r="H2" s="47"/>
      <c r="I2" s="47"/>
    </row>
    <row r="4" spans="1:9" ht="25.5" customHeight="1">
      <c r="A4" s="1" t="s">
        <v>45</v>
      </c>
      <c r="B4" s="1" t="s">
        <v>8</v>
      </c>
      <c r="C4" s="1" t="s">
        <v>22</v>
      </c>
      <c r="D4" s="1" t="s">
        <v>46</v>
      </c>
      <c r="E4" s="1" t="s">
        <v>47</v>
      </c>
      <c r="F4" s="1" t="s">
        <v>48</v>
      </c>
      <c r="G4" s="1" t="s">
        <v>11</v>
      </c>
      <c r="H4" s="1" t="s">
        <v>49</v>
      </c>
      <c r="I4" s="1" t="s">
        <v>50</v>
      </c>
    </row>
    <row r="5" spans="1:9" ht="40.5" customHeight="1">
      <c r="A5" s="3" t="s">
        <v>51</v>
      </c>
      <c r="B5" s="3" t="s">
        <v>13</v>
      </c>
      <c r="C5" s="2" t="s">
        <v>25</v>
      </c>
      <c r="D5" s="2" t="s">
        <v>52</v>
      </c>
      <c r="E5" s="2" t="s">
        <v>53</v>
      </c>
      <c r="F5" s="2" t="s">
        <v>54</v>
      </c>
      <c r="G5" s="3" t="s">
        <v>3</v>
      </c>
      <c r="H5" s="2"/>
      <c r="I5" s="4"/>
    </row>
    <row r="6" spans="1:9" ht="40.5" customHeight="1">
      <c r="A6" s="3" t="s">
        <v>55</v>
      </c>
      <c r="B6" s="3" t="s">
        <v>13</v>
      </c>
      <c r="C6" s="2" t="s">
        <v>25</v>
      </c>
      <c r="D6" s="2" t="s">
        <v>56</v>
      </c>
      <c r="E6" s="2" t="s">
        <v>57</v>
      </c>
      <c r="F6" s="2" t="s">
        <v>54</v>
      </c>
      <c r="G6" s="3" t="s">
        <v>3</v>
      </c>
      <c r="H6" s="2"/>
      <c r="I6" s="4"/>
    </row>
    <row r="7" spans="1:9" ht="40.5" customHeight="1">
      <c r="A7" s="3" t="s">
        <v>58</v>
      </c>
      <c r="B7" s="3" t="s">
        <v>13</v>
      </c>
      <c r="C7" s="2" t="s">
        <v>25</v>
      </c>
      <c r="D7" s="2" t="s">
        <v>59</v>
      </c>
      <c r="E7" s="2" t="s">
        <v>60</v>
      </c>
      <c r="F7" s="2" t="s">
        <v>54</v>
      </c>
      <c r="G7" s="3" t="s">
        <v>3</v>
      </c>
      <c r="H7" s="2"/>
      <c r="I7" s="4"/>
    </row>
    <row r="8" spans="1:9" ht="40.5" customHeight="1">
      <c r="A8" s="3" t="s">
        <v>61</v>
      </c>
      <c r="B8" s="3" t="s">
        <v>13</v>
      </c>
      <c r="C8" s="2" t="s">
        <v>25</v>
      </c>
      <c r="D8" s="2" t="s">
        <v>62</v>
      </c>
      <c r="E8" s="2" t="s">
        <v>63</v>
      </c>
      <c r="F8" s="2" t="s">
        <v>54</v>
      </c>
      <c r="G8" s="3" t="s">
        <v>3</v>
      </c>
      <c r="H8" s="2"/>
      <c r="I8" s="4"/>
    </row>
    <row r="9" spans="1:9" ht="40.5" customHeight="1">
      <c r="A9" s="3" t="s">
        <v>64</v>
      </c>
      <c r="B9" s="3" t="s">
        <v>13</v>
      </c>
      <c r="C9" s="2" t="s">
        <v>25</v>
      </c>
      <c r="D9" s="2" t="s">
        <v>65</v>
      </c>
      <c r="E9" s="2" t="s">
        <v>66</v>
      </c>
      <c r="F9" s="2" t="s">
        <v>54</v>
      </c>
      <c r="G9" s="3" t="s">
        <v>3</v>
      </c>
      <c r="H9" s="2"/>
      <c r="I9" s="4"/>
    </row>
    <row r="10" spans="1:9" ht="40.5" customHeight="1">
      <c r="A10" s="3" t="s">
        <v>67</v>
      </c>
      <c r="B10" s="3" t="s">
        <v>13</v>
      </c>
      <c r="C10" s="2" t="s">
        <v>25</v>
      </c>
      <c r="D10" s="2" t="s">
        <v>68</v>
      </c>
      <c r="E10" s="2" t="s">
        <v>69</v>
      </c>
      <c r="F10" s="2" t="s">
        <v>54</v>
      </c>
      <c r="G10" s="3" t="s">
        <v>3</v>
      </c>
      <c r="H10" s="2"/>
      <c r="I10" s="4"/>
    </row>
    <row r="11" spans="1:9" ht="40.5" customHeight="1">
      <c r="A11" s="3" t="s">
        <v>70</v>
      </c>
      <c r="B11" s="3" t="s">
        <v>13</v>
      </c>
      <c r="C11" s="2" t="s">
        <v>25</v>
      </c>
      <c r="D11" s="2" t="s">
        <v>71</v>
      </c>
      <c r="E11" s="2" t="s">
        <v>72</v>
      </c>
      <c r="F11" s="2" t="s">
        <v>54</v>
      </c>
      <c r="G11" s="3" t="s">
        <v>3</v>
      </c>
      <c r="H11" s="2"/>
      <c r="I11" s="4"/>
    </row>
    <row r="12" spans="1:9" ht="40.5" customHeight="1">
      <c r="A12" s="3" t="s">
        <v>73</v>
      </c>
      <c r="B12" s="3" t="s">
        <v>13</v>
      </c>
      <c r="C12" s="2" t="s">
        <v>25</v>
      </c>
      <c r="D12" s="2" t="s">
        <v>74</v>
      </c>
      <c r="E12" s="2" t="s">
        <v>75</v>
      </c>
      <c r="F12" s="2" t="s">
        <v>54</v>
      </c>
      <c r="G12" s="3" t="s">
        <v>3</v>
      </c>
      <c r="H12" s="2"/>
      <c r="I12" s="4"/>
    </row>
    <row r="13" spans="1:9" ht="40.5" customHeight="1">
      <c r="A13" s="3" t="s">
        <v>76</v>
      </c>
      <c r="B13" s="3" t="s">
        <v>13</v>
      </c>
      <c r="C13" s="2" t="s">
        <v>25</v>
      </c>
      <c r="D13" s="2" t="s">
        <v>77</v>
      </c>
      <c r="E13" s="2" t="s">
        <v>78</v>
      </c>
      <c r="F13" s="2" t="s">
        <v>79</v>
      </c>
      <c r="G13" s="3" t="s">
        <v>3</v>
      </c>
      <c r="H13" s="2"/>
      <c r="I13" s="4"/>
    </row>
    <row r="14" spans="1:9" ht="40.5" customHeight="1">
      <c r="A14" s="3" t="s">
        <v>80</v>
      </c>
      <c r="B14" s="3" t="s">
        <v>13</v>
      </c>
      <c r="C14" s="2" t="s">
        <v>25</v>
      </c>
      <c r="D14" s="2" t="s">
        <v>81</v>
      </c>
      <c r="E14" s="2" t="s">
        <v>82</v>
      </c>
      <c r="F14" s="2" t="s">
        <v>83</v>
      </c>
      <c r="G14" s="3" t="s">
        <v>3</v>
      </c>
      <c r="H14" s="2"/>
      <c r="I14" s="4"/>
    </row>
    <row r="15" spans="1:9" ht="40.5" customHeight="1">
      <c r="A15" s="3" t="s">
        <v>84</v>
      </c>
      <c r="B15" s="3" t="s">
        <v>13</v>
      </c>
      <c r="C15" s="2" t="s">
        <v>25</v>
      </c>
      <c r="D15" s="2" t="s">
        <v>85</v>
      </c>
      <c r="E15" s="2" t="s">
        <v>86</v>
      </c>
      <c r="F15" s="2" t="s">
        <v>83</v>
      </c>
      <c r="G15" s="3" t="s">
        <v>3</v>
      </c>
      <c r="H15" s="2"/>
      <c r="I15" s="4"/>
    </row>
    <row r="16" spans="1:9" ht="40.5" customHeight="1">
      <c r="A16" s="3" t="s">
        <v>87</v>
      </c>
      <c r="B16" s="3" t="s">
        <v>13</v>
      </c>
      <c r="C16" s="2" t="s">
        <v>25</v>
      </c>
      <c r="D16" s="2" t="s">
        <v>88</v>
      </c>
      <c r="E16" s="2" t="s">
        <v>89</v>
      </c>
      <c r="F16" s="2" t="s">
        <v>90</v>
      </c>
      <c r="G16" s="3" t="s">
        <v>3</v>
      </c>
      <c r="H16" s="2"/>
      <c r="I16" s="4"/>
    </row>
    <row r="17" spans="1:9" ht="40.5" customHeight="1">
      <c r="A17" s="3" t="s">
        <v>91</v>
      </c>
      <c r="B17" s="3" t="s">
        <v>13</v>
      </c>
      <c r="C17" s="2" t="s">
        <v>26</v>
      </c>
      <c r="D17" s="2" t="s">
        <v>92</v>
      </c>
      <c r="E17" s="2" t="s">
        <v>93</v>
      </c>
      <c r="F17" s="2" t="s">
        <v>94</v>
      </c>
      <c r="G17" s="3" t="s">
        <v>3</v>
      </c>
      <c r="H17" s="2"/>
      <c r="I17" s="4"/>
    </row>
    <row r="18" spans="1:9" ht="40.5" customHeight="1">
      <c r="A18" s="3" t="s">
        <v>95</v>
      </c>
      <c r="B18" s="3" t="s">
        <v>13</v>
      </c>
      <c r="C18" s="2" t="s">
        <v>26</v>
      </c>
      <c r="D18" s="2" t="s">
        <v>96</v>
      </c>
      <c r="E18" s="2" t="s">
        <v>97</v>
      </c>
      <c r="F18" s="2" t="s">
        <v>98</v>
      </c>
      <c r="G18" s="3" t="s">
        <v>3</v>
      </c>
      <c r="H18" s="2"/>
      <c r="I18" s="4"/>
    </row>
    <row r="19" spans="1:9" ht="40.5" customHeight="1">
      <c r="A19" s="3" t="s">
        <v>99</v>
      </c>
      <c r="B19" s="3" t="s">
        <v>13</v>
      </c>
      <c r="C19" s="2" t="s">
        <v>26</v>
      </c>
      <c r="D19" s="2" t="s">
        <v>100</v>
      </c>
      <c r="E19" s="2" t="s">
        <v>101</v>
      </c>
      <c r="F19" s="2" t="s">
        <v>102</v>
      </c>
      <c r="G19" s="3" t="s">
        <v>3</v>
      </c>
      <c r="H19" s="2"/>
      <c r="I19" s="4"/>
    </row>
    <row r="20" spans="1:9" ht="40.5" customHeight="1">
      <c r="A20" s="3" t="s">
        <v>103</v>
      </c>
      <c r="B20" s="3" t="s">
        <v>13</v>
      </c>
      <c r="C20" s="2" t="s">
        <v>26</v>
      </c>
      <c r="D20" s="2" t="s">
        <v>104</v>
      </c>
      <c r="E20" s="2" t="s">
        <v>105</v>
      </c>
      <c r="F20" s="2" t="s">
        <v>102</v>
      </c>
      <c r="G20" s="3" t="s">
        <v>3</v>
      </c>
      <c r="H20" s="2"/>
      <c r="I20" s="4"/>
    </row>
    <row r="21" spans="1:9" ht="40.5" customHeight="1">
      <c r="A21" s="3" t="s">
        <v>106</v>
      </c>
      <c r="B21" s="3" t="s">
        <v>13</v>
      </c>
      <c r="C21" s="2" t="s">
        <v>26</v>
      </c>
      <c r="D21" s="2" t="s">
        <v>107</v>
      </c>
      <c r="E21" s="2" t="s">
        <v>108</v>
      </c>
      <c r="F21" s="2" t="s">
        <v>109</v>
      </c>
      <c r="G21" s="3" t="s">
        <v>3</v>
      </c>
      <c r="H21" s="2"/>
      <c r="I21" s="4"/>
    </row>
    <row r="22" spans="1:9" ht="40.5" customHeight="1">
      <c r="A22" s="3" t="s">
        <v>110</v>
      </c>
      <c r="B22" s="3" t="s">
        <v>13</v>
      </c>
      <c r="C22" s="2" t="s">
        <v>26</v>
      </c>
      <c r="D22" s="2" t="s">
        <v>111</v>
      </c>
      <c r="E22" s="2" t="s">
        <v>112</v>
      </c>
      <c r="F22" s="2" t="s">
        <v>113</v>
      </c>
      <c r="G22" s="3" t="s">
        <v>3</v>
      </c>
      <c r="H22" s="2"/>
      <c r="I22" s="4"/>
    </row>
    <row r="23" spans="1:9" ht="40.5" customHeight="1">
      <c r="A23" s="3" t="s">
        <v>114</v>
      </c>
      <c r="B23" s="3" t="s">
        <v>13</v>
      </c>
      <c r="C23" s="2" t="s">
        <v>26</v>
      </c>
      <c r="D23" s="2" t="s">
        <v>115</v>
      </c>
      <c r="E23" s="2" t="s">
        <v>116</v>
      </c>
      <c r="F23" s="2" t="s">
        <v>113</v>
      </c>
      <c r="G23" s="3" t="s">
        <v>3</v>
      </c>
      <c r="H23" s="2"/>
      <c r="I23" s="4"/>
    </row>
    <row r="24" spans="1:9" ht="40.5" customHeight="1">
      <c r="A24" s="3" t="s">
        <v>117</v>
      </c>
      <c r="B24" s="3" t="s">
        <v>13</v>
      </c>
      <c r="C24" s="2" t="s">
        <v>26</v>
      </c>
      <c r="D24" s="2" t="s">
        <v>118</v>
      </c>
      <c r="E24" s="2" t="s">
        <v>119</v>
      </c>
      <c r="F24" s="2" t="s">
        <v>113</v>
      </c>
      <c r="G24" s="3" t="s">
        <v>3</v>
      </c>
      <c r="H24" s="2"/>
      <c r="I24" s="4"/>
    </row>
    <row r="25" spans="1:9" ht="40.5" customHeight="1">
      <c r="A25" s="3" t="s">
        <v>120</v>
      </c>
      <c r="B25" s="3" t="s">
        <v>13</v>
      </c>
      <c r="C25" s="2" t="s">
        <v>26</v>
      </c>
      <c r="D25" s="2" t="s">
        <v>121</v>
      </c>
      <c r="E25" s="2" t="s">
        <v>122</v>
      </c>
      <c r="F25" s="2" t="s">
        <v>113</v>
      </c>
      <c r="G25" s="3" t="s">
        <v>3</v>
      </c>
      <c r="H25" s="2"/>
      <c r="I25" s="4"/>
    </row>
    <row r="26" spans="1:9" ht="40.5" customHeight="1">
      <c r="A26" s="3" t="s">
        <v>123</v>
      </c>
      <c r="B26" s="3" t="s">
        <v>13</v>
      </c>
      <c r="C26" s="2" t="s">
        <v>27</v>
      </c>
      <c r="D26" s="2" t="s">
        <v>124</v>
      </c>
      <c r="E26" s="2" t="s">
        <v>125</v>
      </c>
      <c r="F26" s="2"/>
      <c r="G26" s="3" t="s">
        <v>3</v>
      </c>
      <c r="H26" s="2"/>
      <c r="I26" s="4"/>
    </row>
    <row r="27" spans="1:9" ht="40.5" customHeight="1">
      <c r="A27" s="3" t="s">
        <v>126</v>
      </c>
      <c r="B27" s="3" t="s">
        <v>13</v>
      </c>
      <c r="C27" s="2" t="s">
        <v>27</v>
      </c>
      <c r="D27" s="2" t="s">
        <v>127</v>
      </c>
      <c r="E27" s="2" t="s">
        <v>128</v>
      </c>
      <c r="F27" s="2" t="s">
        <v>129</v>
      </c>
      <c r="G27" s="3" t="s">
        <v>3</v>
      </c>
      <c r="H27" s="2"/>
      <c r="I27" s="4"/>
    </row>
    <row r="28" spans="1:9" ht="40.5" customHeight="1">
      <c r="A28" s="3" t="s">
        <v>130</v>
      </c>
      <c r="B28" s="3" t="s">
        <v>13</v>
      </c>
      <c r="C28" s="2" t="s">
        <v>27</v>
      </c>
      <c r="D28" s="2" t="s">
        <v>131</v>
      </c>
      <c r="E28" s="2" t="s">
        <v>132</v>
      </c>
      <c r="F28" s="2"/>
      <c r="G28" s="3" t="s">
        <v>3</v>
      </c>
      <c r="H28" s="2"/>
      <c r="I28" s="4"/>
    </row>
    <row r="29" spans="1:9" ht="40.5" customHeight="1">
      <c r="A29" s="3" t="s">
        <v>133</v>
      </c>
      <c r="B29" s="3" t="s">
        <v>13</v>
      </c>
      <c r="C29" s="2" t="s">
        <v>27</v>
      </c>
      <c r="D29" s="2" t="s">
        <v>134</v>
      </c>
      <c r="E29" s="2" t="s">
        <v>135</v>
      </c>
      <c r="F29" s="2"/>
      <c r="G29" s="3" t="s">
        <v>3</v>
      </c>
      <c r="H29" s="2"/>
      <c r="I29" s="4"/>
    </row>
    <row r="30" spans="1:9" ht="40.5" customHeight="1">
      <c r="A30" s="3" t="s">
        <v>136</v>
      </c>
      <c r="B30" s="3" t="s">
        <v>13</v>
      </c>
      <c r="C30" s="2" t="s">
        <v>27</v>
      </c>
      <c r="D30" s="2" t="s">
        <v>137</v>
      </c>
      <c r="E30" s="2" t="s">
        <v>138</v>
      </c>
      <c r="F30" s="2" t="s">
        <v>129</v>
      </c>
      <c r="G30" s="3" t="s">
        <v>3</v>
      </c>
      <c r="H30" s="2"/>
      <c r="I30" s="4"/>
    </row>
    <row r="31" spans="1:9" ht="40.5" customHeight="1">
      <c r="A31" s="3" t="s">
        <v>139</v>
      </c>
      <c r="B31" s="3" t="s">
        <v>13</v>
      </c>
      <c r="C31" s="2" t="s">
        <v>27</v>
      </c>
      <c r="D31" s="2" t="s">
        <v>140</v>
      </c>
      <c r="E31" s="2" t="s">
        <v>141</v>
      </c>
      <c r="F31" s="2" t="s">
        <v>142</v>
      </c>
      <c r="G31" s="3" t="s">
        <v>3</v>
      </c>
      <c r="H31" s="2"/>
      <c r="I31" s="4"/>
    </row>
    <row r="32" spans="1:9" ht="40.5" customHeight="1">
      <c r="A32" s="3" t="s">
        <v>143</v>
      </c>
      <c r="B32" s="3" t="s">
        <v>13</v>
      </c>
      <c r="C32" s="2" t="s">
        <v>27</v>
      </c>
      <c r="D32" s="2" t="s">
        <v>144</v>
      </c>
      <c r="E32" s="2" t="s">
        <v>145</v>
      </c>
      <c r="F32" s="2" t="s">
        <v>142</v>
      </c>
      <c r="G32" s="3" t="s">
        <v>3</v>
      </c>
      <c r="H32" s="2"/>
      <c r="I32" s="4"/>
    </row>
    <row r="33" spans="1:9" ht="40.5" customHeight="1">
      <c r="A33" s="3" t="s">
        <v>146</v>
      </c>
      <c r="B33" s="3" t="s">
        <v>13</v>
      </c>
      <c r="C33" s="2" t="s">
        <v>27</v>
      </c>
      <c r="D33" s="2" t="s">
        <v>147</v>
      </c>
      <c r="E33" s="2" t="s">
        <v>148</v>
      </c>
      <c r="F33" s="2"/>
      <c r="G33" s="3" t="s">
        <v>3</v>
      </c>
      <c r="H33" s="2"/>
      <c r="I33" s="4"/>
    </row>
    <row r="34" spans="1:9" ht="40.5" customHeight="1">
      <c r="A34" s="3" t="s">
        <v>149</v>
      </c>
      <c r="B34" s="3" t="s">
        <v>13</v>
      </c>
      <c r="C34" s="2" t="s">
        <v>27</v>
      </c>
      <c r="D34" s="2" t="s">
        <v>150</v>
      </c>
      <c r="E34" s="2" t="s">
        <v>151</v>
      </c>
      <c r="F34" s="2"/>
      <c r="G34" s="3" t="s">
        <v>3</v>
      </c>
      <c r="H34" s="2"/>
      <c r="I34" s="4"/>
    </row>
    <row r="35" spans="1:9" ht="40.5" customHeight="1">
      <c r="A35" s="3" t="s">
        <v>152</v>
      </c>
      <c r="B35" s="3" t="s">
        <v>13</v>
      </c>
      <c r="C35" s="2" t="s">
        <v>27</v>
      </c>
      <c r="D35" s="2" t="s">
        <v>153</v>
      </c>
      <c r="E35" s="2" t="s">
        <v>154</v>
      </c>
      <c r="F35" s="2"/>
      <c r="G35" s="3" t="s">
        <v>3</v>
      </c>
      <c r="H35" s="2"/>
      <c r="I35" s="4"/>
    </row>
    <row r="36" spans="1:9" ht="40.5" customHeight="1">
      <c r="A36" s="3" t="s">
        <v>155</v>
      </c>
      <c r="B36" s="3" t="s">
        <v>13</v>
      </c>
      <c r="C36" s="2" t="s">
        <v>28</v>
      </c>
      <c r="D36" s="2" t="s">
        <v>156</v>
      </c>
      <c r="E36" s="2" t="s">
        <v>157</v>
      </c>
      <c r="F36" s="2" t="s">
        <v>113</v>
      </c>
      <c r="G36" s="3" t="s">
        <v>3</v>
      </c>
      <c r="H36" s="2"/>
      <c r="I36" s="4"/>
    </row>
    <row r="37" spans="1:9" ht="40.5" customHeight="1">
      <c r="A37" s="3" t="s">
        <v>158</v>
      </c>
      <c r="B37" s="3" t="s">
        <v>13</v>
      </c>
      <c r="C37" s="2" t="s">
        <v>28</v>
      </c>
      <c r="D37" s="2" t="s">
        <v>159</v>
      </c>
      <c r="E37" s="2" t="s">
        <v>160</v>
      </c>
      <c r="F37" s="2" t="s">
        <v>161</v>
      </c>
      <c r="G37" s="3" t="s">
        <v>3</v>
      </c>
      <c r="H37" s="2"/>
      <c r="I37" s="4"/>
    </row>
    <row r="38" spans="1:9" ht="40.5" customHeight="1">
      <c r="A38" s="3" t="s">
        <v>162</v>
      </c>
      <c r="B38" s="3" t="s">
        <v>13</v>
      </c>
      <c r="C38" s="2" t="s">
        <v>28</v>
      </c>
      <c r="D38" s="2" t="s">
        <v>163</v>
      </c>
      <c r="E38" s="2" t="s">
        <v>164</v>
      </c>
      <c r="F38" s="2" t="s">
        <v>161</v>
      </c>
      <c r="G38" s="3" t="s">
        <v>3</v>
      </c>
      <c r="H38" s="2"/>
      <c r="I38" s="4"/>
    </row>
    <row r="39" spans="1:9" ht="40.5" customHeight="1">
      <c r="A39" s="3" t="s">
        <v>165</v>
      </c>
      <c r="B39" s="3" t="s">
        <v>13</v>
      </c>
      <c r="C39" s="2" t="s">
        <v>28</v>
      </c>
      <c r="D39" s="2" t="s">
        <v>166</v>
      </c>
      <c r="E39" s="2" t="s">
        <v>167</v>
      </c>
      <c r="F39" s="2" t="s">
        <v>168</v>
      </c>
      <c r="G39" s="3" t="s">
        <v>3</v>
      </c>
      <c r="H39" s="2"/>
      <c r="I39" s="4"/>
    </row>
    <row r="40" spans="1:9" ht="40.5" customHeight="1">
      <c r="A40" s="3" t="s">
        <v>169</v>
      </c>
      <c r="B40" s="3" t="s">
        <v>13</v>
      </c>
      <c r="C40" s="2" t="s">
        <v>28</v>
      </c>
      <c r="D40" s="2" t="s">
        <v>170</v>
      </c>
      <c r="E40" s="2" t="s">
        <v>171</v>
      </c>
      <c r="F40" s="2"/>
      <c r="G40" s="3" t="s">
        <v>3</v>
      </c>
      <c r="H40" s="2"/>
      <c r="I40" s="4"/>
    </row>
    <row r="41" spans="1:9" ht="40.5" customHeight="1">
      <c r="A41" s="3" t="s">
        <v>172</v>
      </c>
      <c r="B41" s="3" t="s">
        <v>13</v>
      </c>
      <c r="C41" s="2" t="s">
        <v>28</v>
      </c>
      <c r="D41" s="2" t="s">
        <v>173</v>
      </c>
      <c r="E41" s="2" t="s">
        <v>174</v>
      </c>
      <c r="F41" s="2"/>
      <c r="G41" s="3" t="s">
        <v>3</v>
      </c>
      <c r="H41" s="2"/>
      <c r="I41" s="4"/>
    </row>
    <row r="42" spans="1:9" ht="40.5" customHeight="1">
      <c r="A42" s="3" t="s">
        <v>175</v>
      </c>
      <c r="B42" s="3" t="s">
        <v>13</v>
      </c>
      <c r="C42" s="2" t="s">
        <v>28</v>
      </c>
      <c r="D42" s="2" t="s">
        <v>176</v>
      </c>
      <c r="E42" s="2" t="s">
        <v>177</v>
      </c>
      <c r="F42" s="2"/>
      <c r="G42" s="3" t="s">
        <v>3</v>
      </c>
      <c r="H42" s="2"/>
      <c r="I42" s="4"/>
    </row>
    <row r="43" spans="1:9" ht="40.5" customHeight="1">
      <c r="A43" s="3" t="s">
        <v>178</v>
      </c>
      <c r="B43" s="3" t="s">
        <v>13</v>
      </c>
      <c r="C43" s="2" t="s">
        <v>28</v>
      </c>
      <c r="D43" s="2" t="s">
        <v>179</v>
      </c>
      <c r="E43" s="2" t="s">
        <v>180</v>
      </c>
      <c r="F43" s="2"/>
      <c r="G43" s="3" t="s">
        <v>3</v>
      </c>
      <c r="H43" s="2"/>
      <c r="I43" s="4"/>
    </row>
    <row r="44" spans="1:9" ht="40.5" customHeight="1">
      <c r="A44" s="3" t="s">
        <v>181</v>
      </c>
      <c r="B44" s="3" t="s">
        <v>13</v>
      </c>
      <c r="C44" s="2" t="s">
        <v>29</v>
      </c>
      <c r="D44" s="2" t="s">
        <v>182</v>
      </c>
      <c r="E44" s="2" t="s">
        <v>183</v>
      </c>
      <c r="F44" s="2" t="s">
        <v>184</v>
      </c>
      <c r="G44" s="3" t="s">
        <v>3</v>
      </c>
      <c r="H44" s="2"/>
      <c r="I44" s="4"/>
    </row>
    <row r="45" spans="1:9" ht="40.5" customHeight="1">
      <c r="A45" s="3" t="s">
        <v>185</v>
      </c>
      <c r="B45" s="3" t="s">
        <v>13</v>
      </c>
      <c r="C45" s="2" t="s">
        <v>29</v>
      </c>
      <c r="D45" s="2" t="s">
        <v>186</v>
      </c>
      <c r="E45" s="2" t="s">
        <v>187</v>
      </c>
      <c r="F45" s="2" t="s">
        <v>188</v>
      </c>
      <c r="G45" s="3" t="s">
        <v>3</v>
      </c>
      <c r="H45" s="2"/>
      <c r="I45" s="4"/>
    </row>
    <row r="46" spans="1:9" ht="40.5" customHeight="1">
      <c r="A46" s="3" t="s">
        <v>189</v>
      </c>
      <c r="B46" s="3" t="s">
        <v>13</v>
      </c>
      <c r="C46" s="2" t="s">
        <v>29</v>
      </c>
      <c r="D46" s="2" t="s">
        <v>190</v>
      </c>
      <c r="E46" s="2" t="s">
        <v>191</v>
      </c>
      <c r="F46" s="2" t="s">
        <v>188</v>
      </c>
      <c r="G46" s="3" t="s">
        <v>3</v>
      </c>
      <c r="H46" s="2"/>
      <c r="I46" s="4"/>
    </row>
    <row r="47" spans="1:9" ht="40.5" customHeight="1">
      <c r="A47" s="3" t="s">
        <v>192</v>
      </c>
      <c r="B47" s="3" t="s">
        <v>13</v>
      </c>
      <c r="C47" s="2" t="s">
        <v>29</v>
      </c>
      <c r="D47" s="2" t="s">
        <v>193</v>
      </c>
      <c r="E47" s="2" t="s">
        <v>194</v>
      </c>
      <c r="F47" s="2" t="s">
        <v>188</v>
      </c>
      <c r="G47" s="3" t="s">
        <v>3</v>
      </c>
      <c r="H47" s="2"/>
      <c r="I47" s="4"/>
    </row>
    <row r="48" spans="1:9" ht="40.5" customHeight="1">
      <c r="A48" s="3" t="s">
        <v>195</v>
      </c>
      <c r="B48" s="3" t="s">
        <v>13</v>
      </c>
      <c r="C48" s="2" t="s">
        <v>29</v>
      </c>
      <c r="D48" s="2" t="s">
        <v>196</v>
      </c>
      <c r="E48" s="2" t="s">
        <v>197</v>
      </c>
      <c r="F48" s="2" t="s">
        <v>188</v>
      </c>
      <c r="G48" s="3" t="s">
        <v>3</v>
      </c>
      <c r="H48" s="2"/>
      <c r="I48" s="4"/>
    </row>
    <row r="49" spans="1:9" ht="40.5" customHeight="1">
      <c r="A49" s="3" t="s">
        <v>198</v>
      </c>
      <c r="B49" s="3" t="s">
        <v>13</v>
      </c>
      <c r="C49" s="2" t="s">
        <v>29</v>
      </c>
      <c r="D49" s="2" t="s">
        <v>199</v>
      </c>
      <c r="E49" s="2" t="s">
        <v>200</v>
      </c>
      <c r="F49" s="2" t="s">
        <v>201</v>
      </c>
      <c r="G49" s="3" t="s">
        <v>3</v>
      </c>
      <c r="H49" s="2"/>
      <c r="I49" s="4"/>
    </row>
    <row r="50" spans="1:9" ht="40.5" customHeight="1">
      <c r="A50" s="3" t="s">
        <v>202</v>
      </c>
      <c r="B50" s="3" t="s">
        <v>13</v>
      </c>
      <c r="C50" s="2" t="s">
        <v>29</v>
      </c>
      <c r="D50" s="2" t="s">
        <v>203</v>
      </c>
      <c r="E50" s="2" t="s">
        <v>200</v>
      </c>
      <c r="F50" s="2" t="s">
        <v>35</v>
      </c>
      <c r="G50" s="3" t="s">
        <v>3</v>
      </c>
      <c r="H50" s="2"/>
      <c r="I50" s="4"/>
    </row>
    <row r="51" spans="1:9" ht="40.5" customHeight="1">
      <c r="A51" s="3" t="s">
        <v>204</v>
      </c>
      <c r="B51" s="3" t="s">
        <v>13</v>
      </c>
      <c r="C51" s="2" t="s">
        <v>29</v>
      </c>
      <c r="D51" s="2" t="s">
        <v>205</v>
      </c>
      <c r="E51" s="2" t="s">
        <v>206</v>
      </c>
      <c r="F51" s="2" t="s">
        <v>207</v>
      </c>
      <c r="G51" s="3" t="s">
        <v>3</v>
      </c>
      <c r="H51" s="2"/>
      <c r="I51" s="4"/>
    </row>
    <row r="52" spans="1:9" ht="40.5" customHeight="1">
      <c r="A52" s="3" t="s">
        <v>208</v>
      </c>
      <c r="B52" s="3" t="s">
        <v>13</v>
      </c>
      <c r="C52" s="2" t="s">
        <v>29</v>
      </c>
      <c r="D52" s="2" t="s">
        <v>209</v>
      </c>
      <c r="E52" s="2" t="s">
        <v>210</v>
      </c>
      <c r="F52" s="2"/>
      <c r="G52" s="3" t="s">
        <v>3</v>
      </c>
      <c r="H52" s="2"/>
      <c r="I52" s="4"/>
    </row>
    <row r="53" spans="1:9" ht="40.5" customHeight="1">
      <c r="A53" s="3" t="s">
        <v>211</v>
      </c>
      <c r="B53" s="3" t="s">
        <v>13</v>
      </c>
      <c r="C53" s="2" t="s">
        <v>29</v>
      </c>
      <c r="D53" s="2" t="s">
        <v>212</v>
      </c>
      <c r="E53" s="2" t="s">
        <v>213</v>
      </c>
      <c r="F53" s="2"/>
      <c r="G53" s="3" t="s">
        <v>3</v>
      </c>
      <c r="H53" s="2"/>
      <c r="I53" s="4"/>
    </row>
    <row r="54" spans="1:9" ht="40.5" customHeight="1">
      <c r="A54" s="3" t="s">
        <v>214</v>
      </c>
      <c r="B54" s="3" t="s">
        <v>13</v>
      </c>
      <c r="C54" s="2" t="s">
        <v>29</v>
      </c>
      <c r="D54" s="2" t="s">
        <v>215</v>
      </c>
      <c r="E54" s="2" t="s">
        <v>216</v>
      </c>
      <c r="F54" s="2"/>
      <c r="G54" s="3" t="s">
        <v>3</v>
      </c>
      <c r="H54" s="2"/>
      <c r="I54" s="4"/>
    </row>
    <row r="55" spans="1:9" ht="40.5" customHeight="1">
      <c r="A55" s="3" t="s">
        <v>217</v>
      </c>
      <c r="B55" s="3" t="s">
        <v>13</v>
      </c>
      <c r="C55" s="2" t="s">
        <v>30</v>
      </c>
      <c r="D55" s="2" t="s">
        <v>218</v>
      </c>
      <c r="E55" s="2" t="s">
        <v>219</v>
      </c>
      <c r="F55" s="2" t="s">
        <v>220</v>
      </c>
      <c r="G55" s="3" t="s">
        <v>3</v>
      </c>
      <c r="H55" s="2"/>
      <c r="I55" s="4"/>
    </row>
    <row r="56" spans="1:9" ht="40.5" customHeight="1">
      <c r="A56" s="3" t="s">
        <v>221</v>
      </c>
      <c r="B56" s="3" t="s">
        <v>13</v>
      </c>
      <c r="C56" s="2" t="s">
        <v>30</v>
      </c>
      <c r="D56" s="2" t="s">
        <v>222</v>
      </c>
      <c r="E56" s="2" t="s">
        <v>223</v>
      </c>
      <c r="F56" s="2" t="s">
        <v>201</v>
      </c>
      <c r="G56" s="3" t="s">
        <v>3</v>
      </c>
      <c r="H56" s="2"/>
      <c r="I56" s="4"/>
    </row>
    <row r="57" spans="1:9" ht="40.5" customHeight="1">
      <c r="A57" s="3" t="s">
        <v>224</v>
      </c>
      <c r="B57" s="3" t="s">
        <v>13</v>
      </c>
      <c r="C57" s="2" t="s">
        <v>30</v>
      </c>
      <c r="D57" s="2" t="s">
        <v>225</v>
      </c>
      <c r="E57" s="2" t="s">
        <v>226</v>
      </c>
      <c r="F57" s="2" t="s">
        <v>35</v>
      </c>
      <c r="G57" s="3" t="s">
        <v>3</v>
      </c>
      <c r="H57" s="2"/>
      <c r="I57" s="4"/>
    </row>
    <row r="58" spans="1:9" ht="40.5" customHeight="1">
      <c r="A58" s="3" t="s">
        <v>227</v>
      </c>
      <c r="B58" s="3" t="s">
        <v>13</v>
      </c>
      <c r="C58" s="2" t="s">
        <v>30</v>
      </c>
      <c r="D58" s="2" t="s">
        <v>228</v>
      </c>
      <c r="E58" s="2" t="s">
        <v>229</v>
      </c>
      <c r="F58" s="2" t="s">
        <v>35</v>
      </c>
      <c r="G58" s="3" t="s">
        <v>3</v>
      </c>
      <c r="H58" s="2"/>
      <c r="I58" s="4"/>
    </row>
    <row r="59" spans="1:9" ht="40.5" customHeight="1">
      <c r="A59" s="3" t="s">
        <v>230</v>
      </c>
      <c r="B59" s="3" t="s">
        <v>13</v>
      </c>
      <c r="C59" s="2" t="s">
        <v>30</v>
      </c>
      <c r="D59" s="2" t="s">
        <v>231</v>
      </c>
      <c r="E59" s="2" t="s">
        <v>232</v>
      </c>
      <c r="F59" s="2" t="s">
        <v>35</v>
      </c>
      <c r="G59" s="3" t="s">
        <v>3</v>
      </c>
      <c r="H59" s="2"/>
      <c r="I59" s="4"/>
    </row>
    <row r="60" spans="1:9" ht="40.5" customHeight="1">
      <c r="A60" s="3" t="s">
        <v>233</v>
      </c>
      <c r="B60" s="3" t="s">
        <v>13</v>
      </c>
      <c r="C60" s="2" t="s">
        <v>30</v>
      </c>
      <c r="D60" s="2" t="s">
        <v>234</v>
      </c>
      <c r="E60" s="2" t="s">
        <v>235</v>
      </c>
      <c r="F60" s="2" t="s">
        <v>236</v>
      </c>
      <c r="G60" s="3" t="s">
        <v>3</v>
      </c>
      <c r="H60" s="2"/>
      <c r="I60" s="4"/>
    </row>
    <row r="61" spans="1:9" ht="40.5" customHeight="1">
      <c r="A61" s="3" t="s">
        <v>237</v>
      </c>
      <c r="B61" s="3" t="s">
        <v>13</v>
      </c>
      <c r="C61" s="2" t="s">
        <v>30</v>
      </c>
      <c r="D61" s="2" t="s">
        <v>238</v>
      </c>
      <c r="E61" s="2" t="s">
        <v>239</v>
      </c>
      <c r="F61" s="2"/>
      <c r="G61" s="3" t="s">
        <v>3</v>
      </c>
      <c r="H61" s="2"/>
      <c r="I61" s="4"/>
    </row>
    <row r="62" spans="1:9" ht="40.5" customHeight="1">
      <c r="A62" s="3" t="s">
        <v>240</v>
      </c>
      <c r="B62" s="3" t="s">
        <v>13</v>
      </c>
      <c r="C62" s="2" t="s">
        <v>30</v>
      </c>
      <c r="D62" s="2" t="s">
        <v>241</v>
      </c>
      <c r="E62" s="2" t="s">
        <v>242</v>
      </c>
      <c r="F62" s="2"/>
      <c r="G62" s="3" t="s">
        <v>3</v>
      </c>
      <c r="H62" s="2"/>
      <c r="I62" s="4"/>
    </row>
    <row r="63" spans="1:9" ht="40.5" customHeight="1">
      <c r="A63" s="3" t="s">
        <v>243</v>
      </c>
      <c r="B63" s="3" t="s">
        <v>13</v>
      </c>
      <c r="C63" s="2" t="s">
        <v>31</v>
      </c>
      <c r="D63" s="2" t="s">
        <v>244</v>
      </c>
      <c r="E63" s="2" t="s">
        <v>245</v>
      </c>
      <c r="F63" s="2"/>
      <c r="G63" s="3" t="s">
        <v>3</v>
      </c>
      <c r="H63" s="2"/>
      <c r="I63" s="4"/>
    </row>
    <row r="64" spans="1:9" ht="40.5" customHeight="1">
      <c r="A64" s="3" t="s">
        <v>246</v>
      </c>
      <c r="B64" s="3" t="s">
        <v>13</v>
      </c>
      <c r="C64" s="2" t="s">
        <v>31</v>
      </c>
      <c r="D64" s="2" t="s">
        <v>247</v>
      </c>
      <c r="E64" s="2" t="s">
        <v>248</v>
      </c>
      <c r="F64" s="2" t="s">
        <v>249</v>
      </c>
      <c r="G64" s="3" t="s">
        <v>3</v>
      </c>
      <c r="H64" s="2"/>
      <c r="I64" s="4"/>
    </row>
    <row r="65" spans="1:9" ht="40.5" customHeight="1">
      <c r="A65" s="3" t="s">
        <v>250</v>
      </c>
      <c r="B65" s="3" t="s">
        <v>13</v>
      </c>
      <c r="C65" s="2" t="s">
        <v>31</v>
      </c>
      <c r="D65" s="2" t="s">
        <v>251</v>
      </c>
      <c r="E65" s="2" t="s">
        <v>252</v>
      </c>
      <c r="F65" s="2" t="s">
        <v>249</v>
      </c>
      <c r="G65" s="3" t="s">
        <v>3</v>
      </c>
      <c r="H65" s="2"/>
      <c r="I65" s="4"/>
    </row>
    <row r="66" spans="1:9" ht="40.5" customHeight="1">
      <c r="A66" s="3" t="s">
        <v>253</v>
      </c>
      <c r="B66" s="3" t="s">
        <v>13</v>
      </c>
      <c r="C66" s="2" t="s">
        <v>31</v>
      </c>
      <c r="D66" s="2" t="s">
        <v>254</v>
      </c>
      <c r="E66" s="2" t="s">
        <v>255</v>
      </c>
      <c r="F66" s="2" t="s">
        <v>256</v>
      </c>
      <c r="G66" s="3" t="s">
        <v>3</v>
      </c>
      <c r="H66" s="2"/>
      <c r="I66" s="4"/>
    </row>
    <row r="67" spans="1:9" ht="40.5" customHeight="1">
      <c r="A67" s="3" t="s">
        <v>257</v>
      </c>
      <c r="B67" s="3" t="s">
        <v>13</v>
      </c>
      <c r="C67" s="2" t="s">
        <v>31</v>
      </c>
      <c r="D67" s="2" t="s">
        <v>258</v>
      </c>
      <c r="E67" s="2" t="s">
        <v>259</v>
      </c>
      <c r="F67" s="2" t="s">
        <v>260</v>
      </c>
      <c r="G67" s="3" t="s">
        <v>3</v>
      </c>
      <c r="H67" s="2"/>
      <c r="I67" s="4"/>
    </row>
    <row r="68" spans="1:9" ht="40.5" customHeight="1">
      <c r="A68" s="3" t="s">
        <v>261</v>
      </c>
      <c r="B68" s="3" t="s">
        <v>13</v>
      </c>
      <c r="C68" s="2" t="s">
        <v>31</v>
      </c>
      <c r="D68" s="2" t="s">
        <v>262</v>
      </c>
      <c r="E68" s="2" t="s">
        <v>263</v>
      </c>
      <c r="F68" s="2"/>
      <c r="G68" s="3" t="s">
        <v>3</v>
      </c>
      <c r="H68" s="2"/>
      <c r="I68" s="4"/>
    </row>
    <row r="69" spans="1:9" ht="40.5" customHeight="1">
      <c r="A69" s="3" t="s">
        <v>264</v>
      </c>
      <c r="B69" s="3" t="s">
        <v>13</v>
      </c>
      <c r="C69" s="2" t="s">
        <v>31</v>
      </c>
      <c r="D69" s="2" t="s">
        <v>265</v>
      </c>
      <c r="E69" s="2" t="s">
        <v>266</v>
      </c>
      <c r="F69" s="2"/>
      <c r="G69" s="3" t="s">
        <v>3</v>
      </c>
      <c r="H69" s="2"/>
      <c r="I69" s="4"/>
    </row>
    <row r="70" spans="1:9" ht="40.5" customHeight="1">
      <c r="A70" s="3" t="s">
        <v>267</v>
      </c>
      <c r="B70" s="3" t="s">
        <v>13</v>
      </c>
      <c r="C70" s="2" t="s">
        <v>31</v>
      </c>
      <c r="D70" s="2" t="s">
        <v>268</v>
      </c>
      <c r="E70" s="2" t="s">
        <v>269</v>
      </c>
      <c r="F70" s="2" t="s">
        <v>270</v>
      </c>
      <c r="G70" s="3" t="s">
        <v>3</v>
      </c>
      <c r="H70" s="2"/>
      <c r="I70" s="4"/>
    </row>
    <row r="71" spans="1:9" ht="40.5" customHeight="1">
      <c r="A71" s="3" t="s">
        <v>271</v>
      </c>
      <c r="B71" s="3" t="s">
        <v>13</v>
      </c>
      <c r="C71" s="2" t="s">
        <v>31</v>
      </c>
      <c r="D71" s="2" t="s">
        <v>272</v>
      </c>
      <c r="E71" s="2" t="s">
        <v>273</v>
      </c>
      <c r="F71" s="2"/>
      <c r="G71" s="3" t="s">
        <v>3</v>
      </c>
      <c r="H71" s="2"/>
      <c r="I71" s="4"/>
    </row>
    <row r="72" spans="1:9" ht="40.5" customHeight="1">
      <c r="A72" s="3" t="s">
        <v>274</v>
      </c>
      <c r="B72" s="3" t="s">
        <v>13</v>
      </c>
      <c r="C72" s="2" t="s">
        <v>31</v>
      </c>
      <c r="D72" s="2" t="s">
        <v>275</v>
      </c>
      <c r="E72" s="2" t="s">
        <v>276</v>
      </c>
      <c r="F72" s="2" t="s">
        <v>277</v>
      </c>
      <c r="G72" s="3" t="s">
        <v>3</v>
      </c>
      <c r="H72" s="2"/>
      <c r="I72" s="4"/>
    </row>
    <row r="73" spans="1:9" ht="40.5" customHeight="1">
      <c r="A73" s="3" t="s">
        <v>278</v>
      </c>
      <c r="B73" s="3" t="s">
        <v>13</v>
      </c>
      <c r="C73" s="2" t="s">
        <v>31</v>
      </c>
      <c r="D73" s="2" t="s">
        <v>279</v>
      </c>
      <c r="E73" s="2" t="s">
        <v>280</v>
      </c>
      <c r="F73" s="2" t="s">
        <v>281</v>
      </c>
      <c r="G73" s="3" t="s">
        <v>3</v>
      </c>
      <c r="H73" s="2"/>
      <c r="I73" s="4"/>
    </row>
    <row r="74" spans="1:9" ht="40.5" customHeight="1">
      <c r="A74" s="3" t="s">
        <v>282</v>
      </c>
      <c r="B74" s="3" t="s">
        <v>13</v>
      </c>
      <c r="C74" s="2" t="s">
        <v>31</v>
      </c>
      <c r="D74" s="2" t="s">
        <v>283</v>
      </c>
      <c r="E74" s="2" t="s">
        <v>284</v>
      </c>
      <c r="F74" s="2" t="s">
        <v>281</v>
      </c>
      <c r="G74" s="3" t="s">
        <v>3</v>
      </c>
      <c r="H74" s="2"/>
      <c r="I74" s="4"/>
    </row>
    <row r="75" spans="1:9" ht="40.5" customHeight="1">
      <c r="A75" s="3" t="s">
        <v>285</v>
      </c>
      <c r="B75" s="3" t="s">
        <v>13</v>
      </c>
      <c r="C75" s="2" t="s">
        <v>31</v>
      </c>
      <c r="D75" s="2" t="s">
        <v>286</v>
      </c>
      <c r="E75" s="2" t="s">
        <v>287</v>
      </c>
      <c r="F75" s="2" t="s">
        <v>288</v>
      </c>
      <c r="G75" s="3" t="s">
        <v>3</v>
      </c>
      <c r="H75" s="2"/>
      <c r="I75" s="4"/>
    </row>
    <row r="76" spans="1:9" ht="40.5" customHeight="1">
      <c r="A76" s="3" t="s">
        <v>289</v>
      </c>
      <c r="B76" s="3" t="s">
        <v>14</v>
      </c>
      <c r="C76" s="2" t="s">
        <v>32</v>
      </c>
      <c r="D76" s="2" t="s">
        <v>290</v>
      </c>
      <c r="E76" s="2" t="s">
        <v>291</v>
      </c>
      <c r="F76" s="2"/>
      <c r="G76" s="3" t="s">
        <v>3</v>
      </c>
      <c r="H76" s="2"/>
      <c r="I76" s="4"/>
    </row>
    <row r="77" spans="1:9" ht="40.5" customHeight="1">
      <c r="A77" s="3" t="s">
        <v>292</v>
      </c>
      <c r="B77" s="3" t="s">
        <v>14</v>
      </c>
      <c r="C77" s="2" t="s">
        <v>32</v>
      </c>
      <c r="D77" s="2" t="s">
        <v>293</v>
      </c>
      <c r="E77" s="2" t="s">
        <v>294</v>
      </c>
      <c r="F77" s="2"/>
      <c r="G77" s="3" t="s">
        <v>3</v>
      </c>
      <c r="H77" s="2"/>
      <c r="I77" s="4"/>
    </row>
    <row r="78" spans="1:9" ht="40.5" customHeight="1">
      <c r="A78" s="3" t="s">
        <v>295</v>
      </c>
      <c r="B78" s="3" t="s">
        <v>14</v>
      </c>
      <c r="C78" s="2" t="s">
        <v>32</v>
      </c>
      <c r="D78" s="2" t="s">
        <v>296</v>
      </c>
      <c r="E78" s="2" t="s">
        <v>297</v>
      </c>
      <c r="F78" s="2"/>
      <c r="G78" s="3" t="s">
        <v>3</v>
      </c>
      <c r="H78" s="2"/>
      <c r="I78" s="4"/>
    </row>
    <row r="79" spans="1:9" ht="40.5" customHeight="1">
      <c r="A79" s="3" t="s">
        <v>298</v>
      </c>
      <c r="B79" s="3" t="s">
        <v>14</v>
      </c>
      <c r="C79" s="2" t="s">
        <v>32</v>
      </c>
      <c r="D79" s="2" t="s">
        <v>299</v>
      </c>
      <c r="E79" s="2" t="s">
        <v>300</v>
      </c>
      <c r="F79" s="2"/>
      <c r="G79" s="3" t="s">
        <v>3</v>
      </c>
      <c r="H79" s="2"/>
      <c r="I79" s="4"/>
    </row>
    <row r="80" spans="1:9" ht="40.5" customHeight="1">
      <c r="A80" s="3" t="s">
        <v>301</v>
      </c>
      <c r="B80" s="3" t="s">
        <v>14</v>
      </c>
      <c r="C80" s="2" t="s">
        <v>32</v>
      </c>
      <c r="D80" s="2" t="s">
        <v>302</v>
      </c>
      <c r="E80" s="2" t="s">
        <v>303</v>
      </c>
      <c r="F80" s="2"/>
      <c r="G80" s="3" t="s">
        <v>3</v>
      </c>
      <c r="H80" s="2"/>
      <c r="I80" s="4"/>
    </row>
    <row r="81" spans="1:9" ht="40.5" customHeight="1">
      <c r="A81" s="3" t="s">
        <v>304</v>
      </c>
      <c r="B81" s="3" t="s">
        <v>14</v>
      </c>
      <c r="C81" s="2" t="s">
        <v>32</v>
      </c>
      <c r="D81" s="2" t="s">
        <v>305</v>
      </c>
      <c r="E81" s="2" t="s">
        <v>306</v>
      </c>
      <c r="F81" s="2"/>
      <c r="G81" s="3" t="s">
        <v>3</v>
      </c>
      <c r="H81" s="2"/>
      <c r="I81" s="4"/>
    </row>
    <row r="82" spans="1:9" ht="40.5" customHeight="1">
      <c r="A82" s="3" t="s">
        <v>307</v>
      </c>
      <c r="B82" s="3" t="s">
        <v>14</v>
      </c>
      <c r="C82" s="2" t="s">
        <v>32</v>
      </c>
      <c r="D82" s="2" t="s">
        <v>308</v>
      </c>
      <c r="E82" s="2" t="s">
        <v>309</v>
      </c>
      <c r="F82" s="2"/>
      <c r="G82" s="3" t="s">
        <v>3</v>
      </c>
      <c r="H82" s="2"/>
      <c r="I82" s="4"/>
    </row>
    <row r="83" spans="1:9" ht="40.5" customHeight="1">
      <c r="A83" s="3" t="s">
        <v>310</v>
      </c>
      <c r="B83" s="3" t="s">
        <v>14</v>
      </c>
      <c r="C83" s="2" t="s">
        <v>32</v>
      </c>
      <c r="D83" s="2" t="s">
        <v>311</v>
      </c>
      <c r="E83" s="2" t="s">
        <v>312</v>
      </c>
      <c r="F83" s="2"/>
      <c r="G83" s="3" t="s">
        <v>3</v>
      </c>
      <c r="H83" s="2"/>
      <c r="I83" s="4"/>
    </row>
    <row r="84" spans="1:9" ht="40.5" customHeight="1">
      <c r="A84" s="3" t="s">
        <v>313</v>
      </c>
      <c r="B84" s="3" t="s">
        <v>14</v>
      </c>
      <c r="C84" s="2" t="s">
        <v>32</v>
      </c>
      <c r="D84" s="2" t="s">
        <v>314</v>
      </c>
      <c r="E84" s="2" t="s">
        <v>315</v>
      </c>
      <c r="F84" s="2"/>
      <c r="G84" s="3" t="s">
        <v>3</v>
      </c>
      <c r="H84" s="2"/>
      <c r="I84" s="4"/>
    </row>
    <row r="85" spans="1:9" ht="40.5" customHeight="1">
      <c r="A85" s="3" t="s">
        <v>316</v>
      </c>
      <c r="B85" s="3" t="s">
        <v>14</v>
      </c>
      <c r="C85" s="2" t="s">
        <v>32</v>
      </c>
      <c r="D85" s="2" t="s">
        <v>317</v>
      </c>
      <c r="E85" s="2" t="s">
        <v>318</v>
      </c>
      <c r="F85" s="2"/>
      <c r="G85" s="3" t="s">
        <v>3</v>
      </c>
      <c r="H85" s="2"/>
      <c r="I85" s="4"/>
    </row>
    <row r="86" spans="1:9" ht="40.5" customHeight="1">
      <c r="A86" s="3" t="s">
        <v>319</v>
      </c>
      <c r="B86" s="3" t="s">
        <v>14</v>
      </c>
      <c r="C86" s="2" t="s">
        <v>33</v>
      </c>
      <c r="D86" s="2" t="s">
        <v>320</v>
      </c>
      <c r="E86" s="2" t="s">
        <v>321</v>
      </c>
      <c r="F86" s="2" t="s">
        <v>322</v>
      </c>
      <c r="G86" s="3" t="s">
        <v>3</v>
      </c>
      <c r="H86" s="2"/>
      <c r="I86" s="4"/>
    </row>
    <row r="87" spans="1:9" ht="40.5" customHeight="1">
      <c r="A87" s="3" t="s">
        <v>323</v>
      </c>
      <c r="B87" s="3" t="s">
        <v>14</v>
      </c>
      <c r="C87" s="2" t="s">
        <v>33</v>
      </c>
      <c r="D87" s="2" t="s">
        <v>324</v>
      </c>
      <c r="E87" s="2" t="s">
        <v>325</v>
      </c>
      <c r="F87" s="2" t="s">
        <v>322</v>
      </c>
      <c r="G87" s="3" t="s">
        <v>3</v>
      </c>
      <c r="H87" s="2"/>
      <c r="I87" s="4"/>
    </row>
    <row r="88" spans="1:9" ht="40.5" customHeight="1">
      <c r="A88" s="3" t="s">
        <v>326</v>
      </c>
      <c r="B88" s="3" t="s">
        <v>14</v>
      </c>
      <c r="C88" s="2" t="s">
        <v>33</v>
      </c>
      <c r="D88" s="2" t="s">
        <v>327</v>
      </c>
      <c r="E88" s="2" t="s">
        <v>328</v>
      </c>
      <c r="F88" s="2" t="s">
        <v>322</v>
      </c>
      <c r="G88" s="3" t="s">
        <v>3</v>
      </c>
      <c r="H88" s="2"/>
      <c r="I88" s="4"/>
    </row>
    <row r="89" spans="1:9" ht="40.5" customHeight="1">
      <c r="A89" s="3" t="s">
        <v>329</v>
      </c>
      <c r="B89" s="3" t="s">
        <v>14</v>
      </c>
      <c r="C89" s="2" t="s">
        <v>33</v>
      </c>
      <c r="D89" s="2" t="s">
        <v>330</v>
      </c>
      <c r="E89" s="2" t="s">
        <v>331</v>
      </c>
      <c r="F89" s="2" t="s">
        <v>332</v>
      </c>
      <c r="G89" s="3" t="s">
        <v>3</v>
      </c>
      <c r="H89" s="2"/>
      <c r="I89" s="4"/>
    </row>
    <row r="90" spans="1:9" ht="40.5" customHeight="1">
      <c r="A90" s="3" t="s">
        <v>333</v>
      </c>
      <c r="B90" s="3" t="s">
        <v>14</v>
      </c>
      <c r="C90" s="2" t="s">
        <v>33</v>
      </c>
      <c r="D90" s="2" t="s">
        <v>334</v>
      </c>
      <c r="E90" s="2" t="s">
        <v>335</v>
      </c>
      <c r="F90" s="2"/>
      <c r="G90" s="3" t="s">
        <v>3</v>
      </c>
      <c r="H90" s="2"/>
      <c r="I90" s="4"/>
    </row>
    <row r="91" spans="1:9" ht="40.5" customHeight="1">
      <c r="A91" s="3" t="s">
        <v>336</v>
      </c>
      <c r="B91" s="3" t="s">
        <v>14</v>
      </c>
      <c r="C91" s="2" t="s">
        <v>33</v>
      </c>
      <c r="D91" s="2" t="s">
        <v>337</v>
      </c>
      <c r="E91" s="2" t="s">
        <v>338</v>
      </c>
      <c r="F91" s="2"/>
      <c r="G91" s="3" t="s">
        <v>3</v>
      </c>
      <c r="H91" s="2"/>
      <c r="I91" s="4"/>
    </row>
    <row r="92" spans="1:9" ht="40.5" customHeight="1">
      <c r="A92" s="3" t="s">
        <v>339</v>
      </c>
      <c r="B92" s="3" t="s">
        <v>14</v>
      </c>
      <c r="C92" s="2" t="s">
        <v>33</v>
      </c>
      <c r="D92" s="2" t="s">
        <v>340</v>
      </c>
      <c r="E92" s="2" t="s">
        <v>341</v>
      </c>
      <c r="F92" s="2"/>
      <c r="G92" s="3" t="s">
        <v>3</v>
      </c>
      <c r="H92" s="2"/>
      <c r="I92" s="4"/>
    </row>
    <row r="93" spans="1:9" ht="40.5" customHeight="1">
      <c r="A93" s="3" t="s">
        <v>342</v>
      </c>
      <c r="B93" s="3" t="s">
        <v>14</v>
      </c>
      <c r="C93" s="2" t="s">
        <v>33</v>
      </c>
      <c r="D93" s="2" t="s">
        <v>343</v>
      </c>
      <c r="E93" s="2" t="s">
        <v>344</v>
      </c>
      <c r="F93" s="2"/>
      <c r="G93" s="3" t="s">
        <v>3</v>
      </c>
      <c r="H93" s="2"/>
      <c r="I93" s="4"/>
    </row>
    <row r="94" spans="1:9" ht="40.5" customHeight="1">
      <c r="A94" s="3" t="s">
        <v>345</v>
      </c>
      <c r="B94" s="3" t="s">
        <v>14</v>
      </c>
      <c r="C94" s="2" t="s">
        <v>33</v>
      </c>
      <c r="D94" s="2" t="s">
        <v>346</v>
      </c>
      <c r="E94" s="2" t="s">
        <v>347</v>
      </c>
      <c r="F94" s="2"/>
      <c r="G94" s="3" t="s">
        <v>3</v>
      </c>
      <c r="H94" s="2"/>
      <c r="I94" s="4"/>
    </row>
    <row r="95" spans="1:9" ht="40.5" customHeight="1">
      <c r="A95" s="3" t="s">
        <v>348</v>
      </c>
      <c r="B95" s="3" t="s">
        <v>14</v>
      </c>
      <c r="C95" s="2" t="s">
        <v>33</v>
      </c>
      <c r="D95" s="2" t="s">
        <v>349</v>
      </c>
      <c r="E95" s="2" t="s">
        <v>350</v>
      </c>
      <c r="F95" s="2"/>
      <c r="G95" s="3" t="s">
        <v>3</v>
      </c>
      <c r="H95" s="2"/>
      <c r="I95" s="4"/>
    </row>
    <row r="96" spans="1:9" ht="40.5" customHeight="1">
      <c r="A96" s="3" t="s">
        <v>351</v>
      </c>
      <c r="B96" s="3" t="s">
        <v>14</v>
      </c>
      <c r="C96" s="2" t="s">
        <v>33</v>
      </c>
      <c r="D96" s="2" t="s">
        <v>352</v>
      </c>
      <c r="E96" s="2" t="s">
        <v>353</v>
      </c>
      <c r="F96" s="2"/>
      <c r="G96" s="3" t="s">
        <v>3</v>
      </c>
      <c r="H96" s="2"/>
      <c r="I96" s="4"/>
    </row>
    <row r="97" spans="1:9" ht="40.5" customHeight="1">
      <c r="A97" s="3" t="s">
        <v>354</v>
      </c>
      <c r="B97" s="3" t="s">
        <v>14</v>
      </c>
      <c r="C97" s="2" t="s">
        <v>34</v>
      </c>
      <c r="D97" s="2" t="s">
        <v>355</v>
      </c>
      <c r="E97" s="2" t="s">
        <v>356</v>
      </c>
      <c r="F97" s="2"/>
      <c r="G97" s="3" t="s">
        <v>3</v>
      </c>
      <c r="H97" s="2"/>
      <c r="I97" s="4"/>
    </row>
    <row r="98" spans="1:9" ht="40.5" customHeight="1">
      <c r="A98" s="3" t="s">
        <v>357</v>
      </c>
      <c r="B98" s="3" t="s">
        <v>14</v>
      </c>
      <c r="C98" s="2" t="s">
        <v>34</v>
      </c>
      <c r="D98" s="2" t="s">
        <v>358</v>
      </c>
      <c r="E98" s="2" t="s">
        <v>359</v>
      </c>
      <c r="F98" s="2"/>
      <c r="G98" s="3" t="s">
        <v>3</v>
      </c>
      <c r="H98" s="2"/>
      <c r="I98" s="4"/>
    </row>
    <row r="99" spans="1:9" ht="40.5" customHeight="1">
      <c r="A99" s="3" t="s">
        <v>360</v>
      </c>
      <c r="B99" s="3" t="s">
        <v>14</v>
      </c>
      <c r="C99" s="2" t="s">
        <v>34</v>
      </c>
      <c r="D99" s="2" t="s">
        <v>361</v>
      </c>
      <c r="E99" s="2" t="s">
        <v>362</v>
      </c>
      <c r="F99" s="2"/>
      <c r="G99" s="3" t="s">
        <v>3</v>
      </c>
      <c r="H99" s="2"/>
      <c r="I99" s="4"/>
    </row>
    <row r="100" spans="1:9" ht="40.5" customHeight="1">
      <c r="A100" s="3" t="s">
        <v>363</v>
      </c>
      <c r="B100" s="3" t="s">
        <v>14</v>
      </c>
      <c r="C100" s="2" t="s">
        <v>34</v>
      </c>
      <c r="D100" s="2" t="s">
        <v>364</v>
      </c>
      <c r="E100" s="2" t="s">
        <v>365</v>
      </c>
      <c r="F100" s="2"/>
      <c r="G100" s="3" t="s">
        <v>3</v>
      </c>
      <c r="H100" s="2"/>
      <c r="I100" s="4"/>
    </row>
    <row r="101" spans="1:9" ht="40.5" customHeight="1">
      <c r="A101" s="3" t="s">
        <v>366</v>
      </c>
      <c r="B101" s="3" t="s">
        <v>14</v>
      </c>
      <c r="C101" s="2" t="s">
        <v>34</v>
      </c>
      <c r="D101" s="2" t="s">
        <v>367</v>
      </c>
      <c r="E101" s="2" t="s">
        <v>368</v>
      </c>
      <c r="F101" s="2"/>
      <c r="G101" s="3" t="s">
        <v>3</v>
      </c>
      <c r="H101" s="2"/>
      <c r="I101" s="4"/>
    </row>
    <row r="102" spans="1:9" ht="40.5" customHeight="1">
      <c r="A102" s="3" t="s">
        <v>369</v>
      </c>
      <c r="B102" s="3" t="s">
        <v>14</v>
      </c>
      <c r="C102" s="2" t="s">
        <v>34</v>
      </c>
      <c r="D102" s="2" t="s">
        <v>370</v>
      </c>
      <c r="E102" s="2" t="s">
        <v>371</v>
      </c>
      <c r="F102" s="2"/>
      <c r="G102" s="3" t="s">
        <v>3</v>
      </c>
      <c r="H102" s="2"/>
      <c r="I102" s="4"/>
    </row>
    <row r="103" spans="1:9" ht="40.5" customHeight="1">
      <c r="A103" s="3" t="s">
        <v>372</v>
      </c>
      <c r="B103" s="3" t="s">
        <v>14</v>
      </c>
      <c r="C103" s="2" t="s">
        <v>34</v>
      </c>
      <c r="D103" s="2" t="s">
        <v>373</v>
      </c>
      <c r="E103" s="2" t="s">
        <v>374</v>
      </c>
      <c r="F103" s="2" t="s">
        <v>113</v>
      </c>
      <c r="G103" s="3" t="s">
        <v>3</v>
      </c>
      <c r="H103" s="2"/>
      <c r="I103" s="4"/>
    </row>
    <row r="104" spans="1:9" ht="40.5" customHeight="1">
      <c r="A104" s="3" t="s">
        <v>375</v>
      </c>
      <c r="B104" s="3" t="s">
        <v>14</v>
      </c>
      <c r="C104" s="2" t="s">
        <v>34</v>
      </c>
      <c r="D104" s="2" t="s">
        <v>376</v>
      </c>
      <c r="E104" s="2" t="s">
        <v>377</v>
      </c>
      <c r="F104" s="2"/>
      <c r="G104" s="3" t="s">
        <v>3</v>
      </c>
      <c r="H104" s="2"/>
      <c r="I104" s="4"/>
    </row>
    <row r="105" spans="1:9" ht="40.5" customHeight="1">
      <c r="A105" s="3" t="s">
        <v>378</v>
      </c>
      <c r="B105" s="3" t="s">
        <v>14</v>
      </c>
      <c r="C105" s="2" t="s">
        <v>35</v>
      </c>
      <c r="D105" s="2" t="s">
        <v>379</v>
      </c>
      <c r="E105" s="2" t="s">
        <v>380</v>
      </c>
      <c r="F105" s="2"/>
      <c r="G105" s="3" t="s">
        <v>3</v>
      </c>
      <c r="H105" s="2"/>
      <c r="I105" s="4"/>
    </row>
    <row r="106" spans="1:9" ht="40.5" customHeight="1">
      <c r="A106" s="3" t="s">
        <v>381</v>
      </c>
      <c r="B106" s="3" t="s">
        <v>14</v>
      </c>
      <c r="C106" s="2" t="s">
        <v>35</v>
      </c>
      <c r="D106" s="2" t="s">
        <v>382</v>
      </c>
      <c r="E106" s="2" t="s">
        <v>383</v>
      </c>
      <c r="F106" s="2"/>
      <c r="G106" s="3" t="s">
        <v>3</v>
      </c>
      <c r="H106" s="2"/>
      <c r="I106" s="4"/>
    </row>
    <row r="107" spans="1:9" ht="40.5" customHeight="1">
      <c r="A107" s="3" t="s">
        <v>384</v>
      </c>
      <c r="B107" s="3" t="s">
        <v>14</v>
      </c>
      <c r="C107" s="2" t="s">
        <v>35</v>
      </c>
      <c r="D107" s="2" t="s">
        <v>385</v>
      </c>
      <c r="E107" s="2" t="s">
        <v>386</v>
      </c>
      <c r="F107" s="2"/>
      <c r="G107" s="3" t="s">
        <v>3</v>
      </c>
      <c r="H107" s="2"/>
      <c r="I107" s="4"/>
    </row>
    <row r="108" spans="1:9" ht="40.5" customHeight="1">
      <c r="A108" s="3" t="s">
        <v>387</v>
      </c>
      <c r="B108" s="3" t="s">
        <v>14</v>
      </c>
      <c r="C108" s="2" t="s">
        <v>35</v>
      </c>
      <c r="D108" s="2" t="s">
        <v>388</v>
      </c>
      <c r="E108" s="2" t="s">
        <v>389</v>
      </c>
      <c r="F108" s="2" t="s">
        <v>390</v>
      </c>
      <c r="G108" s="3" t="s">
        <v>3</v>
      </c>
      <c r="H108" s="2"/>
      <c r="I108" s="4"/>
    </row>
    <row r="109" spans="1:9" ht="40.5" customHeight="1">
      <c r="A109" s="3" t="s">
        <v>391</v>
      </c>
      <c r="B109" s="3" t="s">
        <v>14</v>
      </c>
      <c r="C109" s="2" t="s">
        <v>35</v>
      </c>
      <c r="D109" s="2" t="s">
        <v>392</v>
      </c>
      <c r="E109" s="2" t="s">
        <v>393</v>
      </c>
      <c r="F109" s="2"/>
      <c r="G109" s="3" t="s">
        <v>3</v>
      </c>
      <c r="H109" s="2"/>
      <c r="I109" s="4"/>
    </row>
    <row r="110" spans="1:9" ht="40.5" customHeight="1">
      <c r="A110" s="3" t="s">
        <v>394</v>
      </c>
      <c r="B110" s="3" t="s">
        <v>14</v>
      </c>
      <c r="C110" s="2" t="s">
        <v>35</v>
      </c>
      <c r="D110" s="2" t="s">
        <v>395</v>
      </c>
      <c r="E110" s="2" t="s">
        <v>396</v>
      </c>
      <c r="F110" s="2"/>
      <c r="G110" s="3" t="s">
        <v>3</v>
      </c>
      <c r="H110" s="2"/>
      <c r="I110" s="4"/>
    </row>
    <row r="111" spans="1:9" ht="40.5" customHeight="1">
      <c r="A111" s="3" t="s">
        <v>397</v>
      </c>
      <c r="B111" s="3" t="s">
        <v>14</v>
      </c>
      <c r="C111" s="2" t="s">
        <v>35</v>
      </c>
      <c r="D111" s="2" t="s">
        <v>398</v>
      </c>
      <c r="E111" s="2" t="s">
        <v>399</v>
      </c>
      <c r="F111" s="2" t="s">
        <v>400</v>
      </c>
      <c r="G111" s="3" t="s">
        <v>3</v>
      </c>
      <c r="H111" s="2"/>
      <c r="I111" s="4"/>
    </row>
    <row r="112" spans="1:9" ht="40.5" customHeight="1">
      <c r="A112" s="3" t="s">
        <v>401</v>
      </c>
      <c r="B112" s="3" t="s">
        <v>14</v>
      </c>
      <c r="C112" s="2" t="s">
        <v>35</v>
      </c>
      <c r="D112" s="2" t="s">
        <v>402</v>
      </c>
      <c r="E112" s="2" t="s">
        <v>403</v>
      </c>
      <c r="F112" s="2" t="s">
        <v>277</v>
      </c>
      <c r="G112" s="3" t="s">
        <v>3</v>
      </c>
      <c r="H112" s="2"/>
      <c r="I112" s="4"/>
    </row>
    <row r="113" spans="1:9" ht="40.5" customHeight="1">
      <c r="A113" s="3" t="s">
        <v>404</v>
      </c>
      <c r="B113" s="3" t="s">
        <v>14</v>
      </c>
      <c r="C113" s="2" t="s">
        <v>35</v>
      </c>
      <c r="D113" s="2" t="s">
        <v>405</v>
      </c>
      <c r="E113" s="2" t="s">
        <v>406</v>
      </c>
      <c r="F113" s="2" t="s">
        <v>277</v>
      </c>
      <c r="G113" s="3" t="s">
        <v>3</v>
      </c>
      <c r="H113" s="2"/>
      <c r="I113" s="4"/>
    </row>
    <row r="114" spans="1:9" ht="40.5" customHeight="1">
      <c r="A114" s="3" t="s">
        <v>407</v>
      </c>
      <c r="B114" s="3" t="s">
        <v>14</v>
      </c>
      <c r="C114" s="2" t="s">
        <v>35</v>
      </c>
      <c r="D114" s="2" t="s">
        <v>408</v>
      </c>
      <c r="E114" s="2" t="s">
        <v>409</v>
      </c>
      <c r="F114" s="2" t="s">
        <v>277</v>
      </c>
      <c r="G114" s="3" t="s">
        <v>3</v>
      </c>
      <c r="H114" s="2"/>
      <c r="I114" s="4"/>
    </row>
    <row r="115" spans="1:9" ht="40.5" customHeight="1">
      <c r="A115" s="3" t="s">
        <v>410</v>
      </c>
      <c r="B115" s="3" t="s">
        <v>14</v>
      </c>
      <c r="C115" s="2" t="s">
        <v>35</v>
      </c>
      <c r="D115" s="2" t="s">
        <v>411</v>
      </c>
      <c r="E115" s="2" t="s">
        <v>412</v>
      </c>
      <c r="F115" s="2" t="s">
        <v>277</v>
      </c>
      <c r="G115" s="3" t="s">
        <v>3</v>
      </c>
      <c r="H115" s="2"/>
      <c r="I115" s="4"/>
    </row>
    <row r="116" spans="1:9" ht="40.5" customHeight="1">
      <c r="A116" s="3" t="s">
        <v>413</v>
      </c>
      <c r="B116" s="3" t="s">
        <v>14</v>
      </c>
      <c r="C116" s="2" t="s">
        <v>35</v>
      </c>
      <c r="D116" s="2" t="s">
        <v>414</v>
      </c>
      <c r="E116" s="2" t="s">
        <v>415</v>
      </c>
      <c r="F116" s="2" t="s">
        <v>277</v>
      </c>
      <c r="G116" s="3" t="s">
        <v>3</v>
      </c>
      <c r="H116" s="2"/>
      <c r="I116" s="4"/>
    </row>
    <row r="117" spans="1:9" ht="40.5" customHeight="1">
      <c r="A117" s="3" t="s">
        <v>416</v>
      </c>
      <c r="B117" s="3" t="s">
        <v>14</v>
      </c>
      <c r="C117" s="2" t="s">
        <v>36</v>
      </c>
      <c r="D117" s="2" t="s">
        <v>417</v>
      </c>
      <c r="E117" s="2" t="s">
        <v>418</v>
      </c>
      <c r="F117" s="2"/>
      <c r="G117" s="3" t="s">
        <v>3</v>
      </c>
      <c r="H117" s="2"/>
      <c r="I117" s="4"/>
    </row>
    <row r="118" spans="1:9" ht="40.5" customHeight="1">
      <c r="A118" s="3" t="s">
        <v>419</v>
      </c>
      <c r="B118" s="3" t="s">
        <v>14</v>
      </c>
      <c r="C118" s="2" t="s">
        <v>36</v>
      </c>
      <c r="D118" s="2" t="s">
        <v>420</v>
      </c>
      <c r="E118" s="2" t="s">
        <v>421</v>
      </c>
      <c r="F118" s="2"/>
      <c r="G118" s="3" t="s">
        <v>3</v>
      </c>
      <c r="H118" s="2"/>
      <c r="I118" s="4"/>
    </row>
    <row r="119" spans="1:9" ht="40.5" customHeight="1">
      <c r="A119" s="3" t="s">
        <v>422</v>
      </c>
      <c r="B119" s="3" t="s">
        <v>14</v>
      </c>
      <c r="C119" s="2" t="s">
        <v>36</v>
      </c>
      <c r="D119" s="2" t="s">
        <v>423</v>
      </c>
      <c r="E119" s="2" t="s">
        <v>424</v>
      </c>
      <c r="F119" s="2"/>
      <c r="G119" s="3" t="s">
        <v>3</v>
      </c>
      <c r="H119" s="2"/>
      <c r="I119" s="4"/>
    </row>
    <row r="120" spans="1:9" ht="40.5" customHeight="1">
      <c r="A120" s="3" t="s">
        <v>425</v>
      </c>
      <c r="B120" s="3" t="s">
        <v>14</v>
      </c>
      <c r="C120" s="2" t="s">
        <v>36</v>
      </c>
      <c r="D120" s="2" t="s">
        <v>426</v>
      </c>
      <c r="E120" s="2" t="s">
        <v>427</v>
      </c>
      <c r="F120" s="2"/>
      <c r="G120" s="3" t="s">
        <v>3</v>
      </c>
      <c r="H120" s="2"/>
      <c r="I120" s="4"/>
    </row>
    <row r="121" spans="1:9" ht="40.5" customHeight="1">
      <c r="A121" s="3" t="s">
        <v>428</v>
      </c>
      <c r="B121" s="3" t="s">
        <v>14</v>
      </c>
      <c r="C121" s="2" t="s">
        <v>36</v>
      </c>
      <c r="D121" s="2" t="s">
        <v>429</v>
      </c>
      <c r="E121" s="2" t="s">
        <v>430</v>
      </c>
      <c r="F121" s="2"/>
      <c r="G121" s="3" t="s">
        <v>3</v>
      </c>
      <c r="H121" s="2"/>
      <c r="I121" s="4"/>
    </row>
    <row r="122" spans="1:9" ht="40.5" customHeight="1">
      <c r="A122" s="3" t="s">
        <v>431</v>
      </c>
      <c r="B122" s="3" t="s">
        <v>14</v>
      </c>
      <c r="C122" s="2" t="s">
        <v>36</v>
      </c>
      <c r="D122" s="2" t="s">
        <v>432</v>
      </c>
      <c r="E122" s="2" t="s">
        <v>433</v>
      </c>
      <c r="F122" s="2"/>
      <c r="G122" s="3" t="s">
        <v>3</v>
      </c>
      <c r="H122" s="2"/>
      <c r="I122" s="4"/>
    </row>
    <row r="123" spans="1:9" ht="40.5" customHeight="1">
      <c r="A123" s="3" t="s">
        <v>434</v>
      </c>
      <c r="B123" s="3" t="s">
        <v>14</v>
      </c>
      <c r="C123" s="2" t="s">
        <v>36</v>
      </c>
      <c r="D123" s="2" t="s">
        <v>435</v>
      </c>
      <c r="E123" s="2" t="s">
        <v>436</v>
      </c>
      <c r="F123" s="2" t="s">
        <v>437</v>
      </c>
      <c r="G123" s="3" t="s">
        <v>3</v>
      </c>
      <c r="H123" s="2"/>
      <c r="I123" s="4"/>
    </row>
    <row r="124" spans="1:9" ht="40.5" customHeight="1">
      <c r="A124" s="3" t="s">
        <v>438</v>
      </c>
      <c r="B124" s="3" t="s">
        <v>14</v>
      </c>
      <c r="C124" s="2" t="s">
        <v>37</v>
      </c>
      <c r="D124" s="2" t="s">
        <v>439</v>
      </c>
      <c r="E124" s="2" t="s">
        <v>440</v>
      </c>
      <c r="F124" s="2"/>
      <c r="G124" s="3" t="s">
        <v>3</v>
      </c>
      <c r="H124" s="2"/>
      <c r="I124" s="4"/>
    </row>
    <row r="125" spans="1:9" ht="40.5" customHeight="1">
      <c r="A125" s="3" t="s">
        <v>441</v>
      </c>
      <c r="B125" s="3" t="s">
        <v>14</v>
      </c>
      <c r="C125" s="2" t="s">
        <v>37</v>
      </c>
      <c r="D125" s="2" t="s">
        <v>442</v>
      </c>
      <c r="E125" s="2" t="s">
        <v>443</v>
      </c>
      <c r="F125" s="2" t="s">
        <v>277</v>
      </c>
      <c r="G125" s="3" t="s">
        <v>3</v>
      </c>
      <c r="H125" s="2"/>
      <c r="I125" s="4"/>
    </row>
    <row r="126" spans="1:9" ht="40.5" customHeight="1">
      <c r="A126" s="3" t="s">
        <v>444</v>
      </c>
      <c r="B126" s="3" t="s">
        <v>14</v>
      </c>
      <c r="C126" s="2" t="s">
        <v>37</v>
      </c>
      <c r="D126" s="2" t="s">
        <v>445</v>
      </c>
      <c r="E126" s="2" t="s">
        <v>446</v>
      </c>
      <c r="F126" s="2"/>
      <c r="G126" s="3" t="s">
        <v>3</v>
      </c>
      <c r="H126" s="2"/>
      <c r="I126" s="4"/>
    </row>
    <row r="127" spans="1:9" ht="40.5" customHeight="1">
      <c r="A127" s="3" t="s">
        <v>447</v>
      </c>
      <c r="B127" s="3" t="s">
        <v>14</v>
      </c>
      <c r="C127" s="2" t="s">
        <v>37</v>
      </c>
      <c r="D127" s="2" t="s">
        <v>448</v>
      </c>
      <c r="E127" s="2" t="s">
        <v>449</v>
      </c>
      <c r="F127" s="2"/>
      <c r="G127" s="3" t="s">
        <v>3</v>
      </c>
      <c r="H127" s="2"/>
      <c r="I127" s="4"/>
    </row>
    <row r="128" spans="1:9" ht="40.5" customHeight="1">
      <c r="A128" s="3" t="s">
        <v>450</v>
      </c>
      <c r="B128" s="3" t="s">
        <v>14</v>
      </c>
      <c r="C128" s="2" t="s">
        <v>37</v>
      </c>
      <c r="D128" s="2" t="s">
        <v>451</v>
      </c>
      <c r="E128" s="2" t="s">
        <v>452</v>
      </c>
      <c r="F128" s="2"/>
      <c r="G128" s="3" t="s">
        <v>3</v>
      </c>
      <c r="H128" s="2"/>
      <c r="I128" s="4"/>
    </row>
    <row r="129" spans="1:9" ht="40.5" customHeight="1">
      <c r="A129" s="3" t="s">
        <v>453</v>
      </c>
      <c r="B129" s="3" t="s">
        <v>14</v>
      </c>
      <c r="C129" s="2" t="s">
        <v>37</v>
      </c>
      <c r="D129" s="2" t="s">
        <v>454</v>
      </c>
      <c r="E129" s="2" t="s">
        <v>455</v>
      </c>
      <c r="F129" s="2"/>
      <c r="G129" s="3" t="s">
        <v>3</v>
      </c>
      <c r="H129" s="2"/>
      <c r="I129" s="4"/>
    </row>
    <row r="130" spans="1:9" ht="40.5" customHeight="1">
      <c r="A130" s="3" t="s">
        <v>456</v>
      </c>
      <c r="B130" s="3" t="s">
        <v>14</v>
      </c>
      <c r="C130" s="2" t="s">
        <v>37</v>
      </c>
      <c r="D130" s="2" t="s">
        <v>457</v>
      </c>
      <c r="E130" s="2" t="s">
        <v>458</v>
      </c>
      <c r="F130" s="2"/>
      <c r="G130" s="3" t="s">
        <v>3</v>
      </c>
      <c r="H130" s="2"/>
      <c r="I130" s="4"/>
    </row>
    <row r="131" spans="1:9" ht="40.5" customHeight="1">
      <c r="A131" s="3" t="s">
        <v>459</v>
      </c>
      <c r="B131" s="3" t="s">
        <v>14</v>
      </c>
      <c r="C131" s="2" t="s">
        <v>37</v>
      </c>
      <c r="D131" s="2" t="s">
        <v>460</v>
      </c>
      <c r="E131" s="2" t="s">
        <v>461</v>
      </c>
      <c r="F131" s="2" t="s">
        <v>462</v>
      </c>
      <c r="G131" s="3" t="s">
        <v>3</v>
      </c>
      <c r="H131" s="2"/>
      <c r="I131" s="4"/>
    </row>
    <row r="132" spans="1:9" ht="40.5" customHeight="1">
      <c r="A132" s="3" t="s">
        <v>463</v>
      </c>
      <c r="B132" s="3" t="s">
        <v>14</v>
      </c>
      <c r="C132" s="2" t="s">
        <v>38</v>
      </c>
      <c r="D132" s="2" t="s">
        <v>464</v>
      </c>
      <c r="E132" s="2" t="s">
        <v>465</v>
      </c>
      <c r="F132" s="2" t="s">
        <v>466</v>
      </c>
      <c r="G132" s="3" t="s">
        <v>3</v>
      </c>
      <c r="H132" s="2"/>
      <c r="I132" s="4"/>
    </row>
    <row r="133" spans="1:9" ht="40.5" customHeight="1">
      <c r="A133" s="3" t="s">
        <v>467</v>
      </c>
      <c r="B133" s="3" t="s">
        <v>14</v>
      </c>
      <c r="C133" s="2" t="s">
        <v>38</v>
      </c>
      <c r="D133" s="2" t="s">
        <v>468</v>
      </c>
      <c r="E133" s="2" t="s">
        <v>469</v>
      </c>
      <c r="F133" s="2" t="s">
        <v>466</v>
      </c>
      <c r="G133" s="3" t="s">
        <v>3</v>
      </c>
      <c r="H133" s="2"/>
      <c r="I133" s="4"/>
    </row>
    <row r="134" spans="1:9" ht="40.5" customHeight="1">
      <c r="A134" s="3" t="s">
        <v>470</v>
      </c>
      <c r="B134" s="3" t="s">
        <v>14</v>
      </c>
      <c r="C134" s="2" t="s">
        <v>38</v>
      </c>
      <c r="D134" s="2" t="s">
        <v>471</v>
      </c>
      <c r="E134" s="2" t="s">
        <v>472</v>
      </c>
      <c r="F134" s="2" t="s">
        <v>466</v>
      </c>
      <c r="G134" s="3" t="s">
        <v>3</v>
      </c>
      <c r="H134" s="2"/>
      <c r="I134" s="4"/>
    </row>
    <row r="135" spans="1:9" ht="40.5" customHeight="1">
      <c r="A135" s="3" t="s">
        <v>473</v>
      </c>
      <c r="B135" s="3" t="s">
        <v>14</v>
      </c>
      <c r="C135" s="2" t="s">
        <v>38</v>
      </c>
      <c r="D135" s="2" t="s">
        <v>474</v>
      </c>
      <c r="E135" s="2" t="s">
        <v>475</v>
      </c>
      <c r="F135" s="2"/>
      <c r="G135" s="3" t="s">
        <v>3</v>
      </c>
      <c r="H135" s="2"/>
      <c r="I135" s="4"/>
    </row>
    <row r="136" spans="1:9" ht="40.5" customHeight="1">
      <c r="A136" s="3" t="s">
        <v>476</v>
      </c>
      <c r="B136" s="3" t="s">
        <v>14</v>
      </c>
      <c r="C136" s="2" t="s">
        <v>38</v>
      </c>
      <c r="D136" s="2" t="s">
        <v>477</v>
      </c>
      <c r="E136" s="2" t="s">
        <v>478</v>
      </c>
      <c r="F136" s="2"/>
      <c r="G136" s="3" t="s">
        <v>3</v>
      </c>
      <c r="H136" s="2"/>
      <c r="I136" s="4"/>
    </row>
    <row r="137" spans="1:9" ht="40.5" customHeight="1">
      <c r="A137" s="3" t="s">
        <v>479</v>
      </c>
      <c r="B137" s="3" t="s">
        <v>14</v>
      </c>
      <c r="C137" s="2" t="s">
        <v>38</v>
      </c>
      <c r="D137" s="2" t="s">
        <v>480</v>
      </c>
      <c r="E137" s="2" t="s">
        <v>481</v>
      </c>
      <c r="F137" s="2"/>
      <c r="G137" s="3" t="s">
        <v>3</v>
      </c>
      <c r="H137" s="2"/>
      <c r="I137" s="4"/>
    </row>
    <row r="138" spans="1:9" ht="40.5" customHeight="1">
      <c r="A138" s="3" t="s">
        <v>482</v>
      </c>
      <c r="B138" s="3" t="s">
        <v>14</v>
      </c>
      <c r="C138" s="2" t="s">
        <v>38</v>
      </c>
      <c r="D138" s="2" t="s">
        <v>483</v>
      </c>
      <c r="E138" s="2" t="s">
        <v>484</v>
      </c>
      <c r="F138" s="2" t="s">
        <v>485</v>
      </c>
      <c r="G138" s="3" t="s">
        <v>3</v>
      </c>
      <c r="H138" s="2"/>
      <c r="I138" s="4"/>
    </row>
    <row r="139" spans="1:9" ht="40.5" customHeight="1">
      <c r="A139" s="3" t="s">
        <v>486</v>
      </c>
      <c r="B139" s="3" t="s">
        <v>14</v>
      </c>
      <c r="C139" s="2" t="s">
        <v>38</v>
      </c>
      <c r="D139" s="2" t="s">
        <v>487</v>
      </c>
      <c r="E139" s="2" t="s">
        <v>488</v>
      </c>
      <c r="F139" s="2"/>
      <c r="G139" s="3" t="s">
        <v>3</v>
      </c>
      <c r="H139" s="2"/>
      <c r="I139" s="4"/>
    </row>
    <row r="140" spans="1:9" ht="40.5" customHeight="1">
      <c r="A140" s="3" t="s">
        <v>489</v>
      </c>
      <c r="B140" s="3" t="s">
        <v>14</v>
      </c>
      <c r="C140" s="2" t="s">
        <v>38</v>
      </c>
      <c r="D140" s="2" t="s">
        <v>490</v>
      </c>
      <c r="E140" s="2" t="s">
        <v>491</v>
      </c>
      <c r="F140" s="2"/>
      <c r="G140" s="3" t="s">
        <v>3</v>
      </c>
      <c r="H140" s="2"/>
      <c r="I140" s="4"/>
    </row>
    <row r="141" spans="1:9" ht="40.5" customHeight="1">
      <c r="A141" s="3" t="s">
        <v>492</v>
      </c>
      <c r="B141" s="3" t="s">
        <v>14</v>
      </c>
      <c r="C141" s="2" t="s">
        <v>38</v>
      </c>
      <c r="D141" s="2" t="s">
        <v>493</v>
      </c>
      <c r="E141" s="2" t="s">
        <v>494</v>
      </c>
      <c r="F141" s="2" t="s">
        <v>495</v>
      </c>
      <c r="G141" s="3" t="s">
        <v>3</v>
      </c>
      <c r="H141" s="2"/>
      <c r="I141" s="4"/>
    </row>
    <row r="142" spans="1:9" ht="40.5" customHeight="1">
      <c r="A142" s="3" t="s">
        <v>496</v>
      </c>
      <c r="B142" s="3" t="s">
        <v>14</v>
      </c>
      <c r="C142" s="2" t="s">
        <v>38</v>
      </c>
      <c r="D142" s="2" t="s">
        <v>497</v>
      </c>
      <c r="E142" s="2" t="s">
        <v>498</v>
      </c>
      <c r="F142" s="2"/>
      <c r="G142" s="3" t="s">
        <v>3</v>
      </c>
      <c r="H142" s="2"/>
      <c r="I142" s="4"/>
    </row>
    <row r="143" spans="1:9" ht="40.5" customHeight="1">
      <c r="A143" s="3" t="s">
        <v>499</v>
      </c>
      <c r="B143" s="3" t="s">
        <v>14</v>
      </c>
      <c r="C143" s="2" t="s">
        <v>38</v>
      </c>
      <c r="D143" s="2" t="s">
        <v>500</v>
      </c>
      <c r="E143" s="2" t="s">
        <v>501</v>
      </c>
      <c r="F143" s="2"/>
      <c r="G143" s="3" t="s">
        <v>3</v>
      </c>
      <c r="H143" s="2"/>
      <c r="I143" s="4"/>
    </row>
    <row r="144" spans="1:9" ht="40.5" customHeight="1">
      <c r="A144" s="3" t="s">
        <v>502</v>
      </c>
      <c r="B144" s="3" t="s">
        <v>16</v>
      </c>
      <c r="C144" s="2" t="s">
        <v>39</v>
      </c>
      <c r="D144" s="2" t="s">
        <v>503</v>
      </c>
      <c r="E144" s="2" t="s">
        <v>504</v>
      </c>
      <c r="F144" s="2"/>
      <c r="G144" s="3" t="s">
        <v>3</v>
      </c>
      <c r="H144" s="2"/>
      <c r="I144" s="4"/>
    </row>
    <row r="145" spans="1:9" ht="40.5" customHeight="1">
      <c r="A145" s="3" t="s">
        <v>505</v>
      </c>
      <c r="B145" s="3" t="s">
        <v>16</v>
      </c>
      <c r="C145" s="2" t="s">
        <v>39</v>
      </c>
      <c r="D145" s="2" t="s">
        <v>506</v>
      </c>
      <c r="E145" s="2" t="s">
        <v>507</v>
      </c>
      <c r="F145" s="2"/>
      <c r="G145" s="3" t="s">
        <v>3</v>
      </c>
      <c r="H145" s="2"/>
      <c r="I145" s="4"/>
    </row>
    <row r="146" spans="1:9" ht="40.5" customHeight="1">
      <c r="A146" s="3" t="s">
        <v>508</v>
      </c>
      <c r="B146" s="3" t="s">
        <v>16</v>
      </c>
      <c r="C146" s="2" t="s">
        <v>39</v>
      </c>
      <c r="D146" s="2" t="s">
        <v>509</v>
      </c>
      <c r="E146" s="2" t="s">
        <v>510</v>
      </c>
      <c r="F146" s="2"/>
      <c r="G146" s="3" t="s">
        <v>3</v>
      </c>
      <c r="H146" s="2"/>
      <c r="I146" s="4"/>
    </row>
    <row r="147" spans="1:9" ht="40.5" customHeight="1">
      <c r="A147" s="3" t="s">
        <v>511</v>
      </c>
      <c r="B147" s="3" t="s">
        <v>16</v>
      </c>
      <c r="C147" s="2" t="s">
        <v>39</v>
      </c>
      <c r="D147" s="2" t="s">
        <v>512</v>
      </c>
      <c r="E147" s="2" t="s">
        <v>513</v>
      </c>
      <c r="F147" s="2"/>
      <c r="G147" s="3" t="s">
        <v>3</v>
      </c>
      <c r="H147" s="2"/>
      <c r="I147" s="4"/>
    </row>
    <row r="148" spans="1:9" ht="40.5" customHeight="1">
      <c r="A148" s="3" t="s">
        <v>514</v>
      </c>
      <c r="B148" s="3" t="s">
        <v>16</v>
      </c>
      <c r="C148" s="2" t="s">
        <v>39</v>
      </c>
      <c r="D148" s="2" t="s">
        <v>515</v>
      </c>
      <c r="E148" s="2" t="s">
        <v>516</v>
      </c>
      <c r="F148" s="2"/>
      <c r="G148" s="3" t="s">
        <v>3</v>
      </c>
      <c r="H148" s="2"/>
      <c r="I148" s="4"/>
    </row>
    <row r="149" spans="1:9" ht="40.5" customHeight="1">
      <c r="A149" s="3" t="s">
        <v>517</v>
      </c>
      <c r="B149" s="3" t="s">
        <v>16</v>
      </c>
      <c r="C149" s="2" t="s">
        <v>39</v>
      </c>
      <c r="D149" s="2" t="s">
        <v>518</v>
      </c>
      <c r="E149" s="2" t="s">
        <v>519</v>
      </c>
      <c r="F149" s="2"/>
      <c r="G149" s="3" t="s">
        <v>3</v>
      </c>
      <c r="H149" s="2"/>
      <c r="I149" s="4"/>
    </row>
    <row r="150" spans="1:9" ht="40.5" customHeight="1">
      <c r="A150" s="3" t="s">
        <v>520</v>
      </c>
      <c r="B150" s="3" t="s">
        <v>16</v>
      </c>
      <c r="C150" s="2" t="s">
        <v>39</v>
      </c>
      <c r="D150" s="2" t="s">
        <v>521</v>
      </c>
      <c r="E150" s="2" t="s">
        <v>522</v>
      </c>
      <c r="F150" s="2"/>
      <c r="G150" s="3" t="s">
        <v>3</v>
      </c>
      <c r="H150" s="2"/>
      <c r="I150" s="4"/>
    </row>
    <row r="151" spans="1:9" ht="40.5" customHeight="1">
      <c r="A151" s="3" t="s">
        <v>523</v>
      </c>
      <c r="B151" s="3" t="s">
        <v>16</v>
      </c>
      <c r="C151" s="2" t="s">
        <v>39</v>
      </c>
      <c r="D151" s="2" t="s">
        <v>524</v>
      </c>
      <c r="E151" s="2" t="s">
        <v>525</v>
      </c>
      <c r="F151" s="2"/>
      <c r="G151" s="3" t="s">
        <v>3</v>
      </c>
      <c r="H151" s="2"/>
      <c r="I151" s="4"/>
    </row>
    <row r="152" spans="1:9" ht="40.5" customHeight="1">
      <c r="A152" s="3" t="s">
        <v>526</v>
      </c>
      <c r="B152" s="3" t="s">
        <v>16</v>
      </c>
      <c r="C152" s="2" t="s">
        <v>40</v>
      </c>
      <c r="D152" s="2" t="s">
        <v>527</v>
      </c>
      <c r="E152" s="2" t="s">
        <v>528</v>
      </c>
      <c r="F152" s="2"/>
      <c r="G152" s="3" t="s">
        <v>3</v>
      </c>
      <c r="H152" s="2"/>
      <c r="I152" s="4"/>
    </row>
    <row r="153" spans="1:9" ht="40.5" customHeight="1">
      <c r="A153" s="3" t="s">
        <v>529</v>
      </c>
      <c r="B153" s="3" t="s">
        <v>16</v>
      </c>
      <c r="C153" s="2" t="s">
        <v>40</v>
      </c>
      <c r="D153" s="2" t="s">
        <v>530</v>
      </c>
      <c r="E153" s="2" t="s">
        <v>531</v>
      </c>
      <c r="F153" s="2"/>
      <c r="G153" s="3" t="s">
        <v>3</v>
      </c>
      <c r="H153" s="2"/>
      <c r="I153" s="4"/>
    </row>
    <row r="154" spans="1:9" ht="40.5" customHeight="1">
      <c r="A154" s="3" t="s">
        <v>532</v>
      </c>
      <c r="B154" s="3" t="s">
        <v>16</v>
      </c>
      <c r="C154" s="2" t="s">
        <v>40</v>
      </c>
      <c r="D154" s="2" t="s">
        <v>533</v>
      </c>
      <c r="E154" s="2" t="s">
        <v>534</v>
      </c>
      <c r="F154" s="2"/>
      <c r="G154" s="3" t="s">
        <v>3</v>
      </c>
      <c r="H154" s="2"/>
      <c r="I154" s="4"/>
    </row>
    <row r="155" spans="1:9" ht="40.5" customHeight="1">
      <c r="A155" s="3" t="s">
        <v>535</v>
      </c>
      <c r="B155" s="3" t="s">
        <v>16</v>
      </c>
      <c r="C155" s="2" t="s">
        <v>40</v>
      </c>
      <c r="D155" s="2" t="s">
        <v>536</v>
      </c>
      <c r="E155" s="2" t="s">
        <v>537</v>
      </c>
      <c r="F155" s="2"/>
      <c r="G155" s="3" t="s">
        <v>3</v>
      </c>
      <c r="H155" s="2"/>
      <c r="I155" s="4"/>
    </row>
    <row r="156" spans="1:9" ht="40.5" customHeight="1">
      <c r="A156" s="3" t="s">
        <v>538</v>
      </c>
      <c r="B156" s="3" t="s">
        <v>16</v>
      </c>
      <c r="C156" s="2" t="s">
        <v>40</v>
      </c>
      <c r="D156" s="2" t="s">
        <v>539</v>
      </c>
      <c r="E156" s="2" t="s">
        <v>540</v>
      </c>
      <c r="F156" s="2"/>
      <c r="G156" s="3" t="s">
        <v>3</v>
      </c>
      <c r="H156" s="2"/>
      <c r="I156" s="4"/>
    </row>
    <row r="157" spans="1:9" ht="40.5" customHeight="1">
      <c r="A157" s="3" t="s">
        <v>541</v>
      </c>
      <c r="B157" s="3" t="s">
        <v>16</v>
      </c>
      <c r="C157" s="2" t="s">
        <v>40</v>
      </c>
      <c r="D157" s="2" t="s">
        <v>542</v>
      </c>
      <c r="E157" s="2" t="s">
        <v>543</v>
      </c>
      <c r="F157" s="2" t="s">
        <v>495</v>
      </c>
      <c r="G157" s="3" t="s">
        <v>3</v>
      </c>
      <c r="H157" s="2"/>
      <c r="I157" s="4"/>
    </row>
    <row r="158" spans="1:9" ht="40.5" customHeight="1">
      <c r="A158" s="3" t="s">
        <v>544</v>
      </c>
      <c r="B158" s="3" t="s">
        <v>16</v>
      </c>
      <c r="C158" s="2" t="s">
        <v>41</v>
      </c>
      <c r="D158" s="2" t="s">
        <v>545</v>
      </c>
      <c r="E158" s="2" t="s">
        <v>546</v>
      </c>
      <c r="F158" s="2"/>
      <c r="G158" s="3" t="s">
        <v>3</v>
      </c>
      <c r="H158" s="2"/>
      <c r="I158" s="4"/>
    </row>
    <row r="159" spans="1:9" ht="40.5" customHeight="1">
      <c r="A159" s="3" t="s">
        <v>547</v>
      </c>
      <c r="B159" s="3" t="s">
        <v>16</v>
      </c>
      <c r="C159" s="2" t="s">
        <v>41</v>
      </c>
      <c r="D159" s="2" t="s">
        <v>548</v>
      </c>
      <c r="E159" s="2" t="s">
        <v>549</v>
      </c>
      <c r="F159" s="2"/>
      <c r="G159" s="3" t="s">
        <v>3</v>
      </c>
      <c r="H159" s="2"/>
      <c r="I159" s="4"/>
    </row>
    <row r="160" spans="1:9" ht="40.5" customHeight="1">
      <c r="A160" s="3" t="s">
        <v>550</v>
      </c>
      <c r="B160" s="3" t="s">
        <v>16</v>
      </c>
      <c r="C160" s="2" t="s">
        <v>41</v>
      </c>
      <c r="D160" s="2" t="s">
        <v>551</v>
      </c>
      <c r="E160" s="2" t="s">
        <v>552</v>
      </c>
      <c r="F160" s="2"/>
      <c r="G160" s="3" t="s">
        <v>3</v>
      </c>
      <c r="H160" s="2"/>
      <c r="I160" s="4"/>
    </row>
    <row r="161" spans="1:9" ht="40.5" customHeight="1">
      <c r="A161" s="3" t="s">
        <v>553</v>
      </c>
      <c r="B161" s="3" t="s">
        <v>16</v>
      </c>
      <c r="C161" s="2" t="s">
        <v>41</v>
      </c>
      <c r="D161" s="2" t="s">
        <v>554</v>
      </c>
      <c r="E161" s="2" t="s">
        <v>555</v>
      </c>
      <c r="F161" s="2"/>
      <c r="G161" s="3" t="s">
        <v>3</v>
      </c>
      <c r="H161" s="2"/>
      <c r="I161" s="4"/>
    </row>
    <row r="162" spans="1:9" ht="40.5" customHeight="1">
      <c r="A162" s="3" t="s">
        <v>556</v>
      </c>
      <c r="B162" s="3" t="s">
        <v>16</v>
      </c>
      <c r="C162" s="2" t="s">
        <v>41</v>
      </c>
      <c r="D162" s="2" t="s">
        <v>557</v>
      </c>
      <c r="E162" s="2" t="s">
        <v>558</v>
      </c>
      <c r="F162" s="2"/>
      <c r="G162" s="3" t="s">
        <v>3</v>
      </c>
      <c r="H162" s="2"/>
      <c r="I162" s="4"/>
    </row>
    <row r="163" spans="1:9" ht="40.5" customHeight="1">
      <c r="A163" s="3" t="s">
        <v>559</v>
      </c>
      <c r="B163" s="3" t="s">
        <v>16</v>
      </c>
      <c r="C163" s="2" t="s">
        <v>41</v>
      </c>
      <c r="D163" s="2" t="s">
        <v>560</v>
      </c>
      <c r="E163" s="2" t="s">
        <v>561</v>
      </c>
      <c r="F163" s="2"/>
      <c r="G163" s="3" t="s">
        <v>3</v>
      </c>
      <c r="H163" s="2"/>
      <c r="I163" s="4"/>
    </row>
    <row r="164" spans="1:9" ht="40.5" customHeight="1">
      <c r="A164" s="3" t="s">
        <v>562</v>
      </c>
      <c r="B164" s="3" t="s">
        <v>16</v>
      </c>
      <c r="C164" s="2" t="s">
        <v>41</v>
      </c>
      <c r="D164" s="2" t="s">
        <v>563</v>
      </c>
      <c r="E164" s="2" t="s">
        <v>564</v>
      </c>
      <c r="F164" s="2"/>
      <c r="G164" s="3" t="s">
        <v>3</v>
      </c>
      <c r="H164" s="2"/>
      <c r="I164" s="4"/>
    </row>
    <row r="165" spans="1:9" ht="40.5" customHeight="1">
      <c r="A165" s="3" t="s">
        <v>565</v>
      </c>
      <c r="B165" s="3" t="s">
        <v>16</v>
      </c>
      <c r="C165" s="2" t="s">
        <v>42</v>
      </c>
      <c r="D165" s="2" t="s">
        <v>566</v>
      </c>
      <c r="E165" s="2" t="s">
        <v>567</v>
      </c>
      <c r="F165" s="2"/>
      <c r="G165" s="3" t="s">
        <v>3</v>
      </c>
      <c r="H165" s="2"/>
      <c r="I165" s="4"/>
    </row>
    <row r="166" spans="1:9" ht="40.5" customHeight="1">
      <c r="A166" s="3" t="s">
        <v>568</v>
      </c>
      <c r="B166" s="3" t="s">
        <v>16</v>
      </c>
      <c r="C166" s="2" t="s">
        <v>42</v>
      </c>
      <c r="D166" s="2" t="s">
        <v>569</v>
      </c>
      <c r="E166" s="2" t="s">
        <v>570</v>
      </c>
      <c r="F166" s="2"/>
      <c r="G166" s="3" t="s">
        <v>3</v>
      </c>
      <c r="H166" s="2"/>
      <c r="I166" s="4"/>
    </row>
    <row r="167" spans="1:9" ht="40.5" customHeight="1">
      <c r="A167" s="3" t="s">
        <v>571</v>
      </c>
      <c r="B167" s="3" t="s">
        <v>16</v>
      </c>
      <c r="C167" s="2" t="s">
        <v>42</v>
      </c>
      <c r="D167" s="2" t="s">
        <v>572</v>
      </c>
      <c r="E167" s="2" t="s">
        <v>573</v>
      </c>
      <c r="F167" s="2"/>
      <c r="G167" s="3" t="s">
        <v>3</v>
      </c>
      <c r="H167" s="2"/>
      <c r="I167" s="4"/>
    </row>
    <row r="168" spans="1:9" ht="40.5" customHeight="1">
      <c r="A168" s="3" t="s">
        <v>574</v>
      </c>
      <c r="B168" s="3" t="s">
        <v>16</v>
      </c>
      <c r="C168" s="2" t="s">
        <v>42</v>
      </c>
      <c r="D168" s="2" t="s">
        <v>575</v>
      </c>
      <c r="E168" s="2" t="s">
        <v>576</v>
      </c>
      <c r="F168" s="2"/>
      <c r="G168" s="3" t="s">
        <v>3</v>
      </c>
      <c r="H168" s="2"/>
      <c r="I168" s="4"/>
    </row>
    <row r="169" spans="1:9" ht="40.5" customHeight="1">
      <c r="A169" s="3" t="s">
        <v>577</v>
      </c>
      <c r="B169" s="3" t="s">
        <v>16</v>
      </c>
      <c r="C169" s="2" t="s">
        <v>42</v>
      </c>
      <c r="D169" s="2" t="s">
        <v>578</v>
      </c>
      <c r="E169" s="2" t="s">
        <v>579</v>
      </c>
      <c r="F169" s="2"/>
      <c r="G169" s="3" t="s">
        <v>3</v>
      </c>
      <c r="H169" s="2"/>
      <c r="I169" s="4"/>
    </row>
    <row r="170" spans="1:9" ht="40.5" customHeight="1">
      <c r="A170" s="3" t="s">
        <v>580</v>
      </c>
      <c r="B170" s="3" t="s">
        <v>16</v>
      </c>
      <c r="C170" s="2" t="s">
        <v>42</v>
      </c>
      <c r="D170" s="2" t="s">
        <v>581</v>
      </c>
      <c r="E170" s="2" t="s">
        <v>582</v>
      </c>
      <c r="F170" s="2"/>
      <c r="G170" s="3" t="s">
        <v>3</v>
      </c>
      <c r="H170" s="2"/>
      <c r="I170" s="4"/>
    </row>
    <row r="171" spans="1:9" ht="40.5" customHeight="1">
      <c r="A171" s="3" t="s">
        <v>583</v>
      </c>
      <c r="B171" s="3" t="s">
        <v>16</v>
      </c>
      <c r="C171" s="2" t="s">
        <v>42</v>
      </c>
      <c r="D171" s="2" t="s">
        <v>584</v>
      </c>
      <c r="E171" s="2" t="s">
        <v>585</v>
      </c>
      <c r="F171" s="2"/>
      <c r="G171" s="3" t="s">
        <v>3</v>
      </c>
      <c r="H171" s="2"/>
      <c r="I171" s="4"/>
    </row>
    <row r="172" spans="1:9" ht="40.5" customHeight="1">
      <c r="A172" s="3" t="s">
        <v>586</v>
      </c>
      <c r="B172" s="3" t="s">
        <v>16</v>
      </c>
      <c r="C172" s="2" t="s">
        <v>42</v>
      </c>
      <c r="D172" s="2" t="s">
        <v>587</v>
      </c>
      <c r="E172" s="2" t="s">
        <v>588</v>
      </c>
      <c r="F172" s="2"/>
      <c r="G172" s="3" t="s">
        <v>3</v>
      </c>
      <c r="H172" s="2"/>
      <c r="I172" s="4"/>
    </row>
  </sheetData>
  <mergeCells count="2">
    <mergeCell ref="A1:I1"/>
    <mergeCell ref="A2:I2"/>
  </mergeCells>
  <conditionalFormatting sqref="B5:B172">
    <cfRule type="containsText" dxfId="8" priority="1" operator="containsText" text="P0"/>
    <cfRule type="containsText" dxfId="7" priority="2" operator="containsText" text="P1"/>
    <cfRule type="containsText" dxfId="6" priority="3" operator="containsText" text="P2"/>
  </conditionalFormatting>
  <conditionalFormatting sqref="G5:G172">
    <cfRule type="containsText" dxfId="5" priority="4" operator="containsText" text="À tester"/>
    <cfRule type="containsText" dxfId="4" priority="5" operator="containsText" text="En cours"/>
    <cfRule type="containsText" dxfId="3" priority="6" operator="containsText" text="OK"/>
    <cfRule type="containsText" dxfId="2" priority="7" operator="containsText" text="Échec"/>
    <cfRule type="containsText" dxfId="1" priority="8" operator="containsText" text="Bloqué"/>
    <cfRule type="containsText" dxfId="0" priority="9" operator="containsText" text="N/A"/>
  </conditionalFormatting>
  <dataValidations count="2">
    <dataValidation type="list" sqref="B5:B172" xr:uid="{00000000-0002-0000-0100-000000000000}">
      <formula1>"P0,P1,P2"</formula1>
    </dataValidation>
    <dataValidation type="list" sqref="G5:G172" xr:uid="{00000000-0002-0000-0100-000001000000}">
      <formula1>"À tester,En cours,OK,Échec,Bloqué,N/A"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showGridLines="0" workbookViewId="0">
      <selection sqref="A1:D1"/>
    </sheetView>
  </sheetViews>
  <sheetFormatPr baseColWidth="10" defaultColWidth="8.83203125" defaultRowHeight="14"/>
  <cols>
    <col min="1" max="1" width="25" customWidth="1"/>
    <col min="2" max="2" width="28.83203125" customWidth="1"/>
    <col min="3" max="3" width="36.6640625" customWidth="1"/>
    <col min="4" max="4" width="11.6640625" customWidth="1"/>
  </cols>
  <sheetData>
    <row r="1" spans="1:4" ht="31.5" customHeight="1">
      <c r="A1" s="15" t="s">
        <v>589</v>
      </c>
      <c r="B1" s="15"/>
      <c r="C1" s="15"/>
      <c r="D1" s="15"/>
    </row>
    <row r="3" spans="1:4" ht="15">
      <c r="A3" s="39" t="s">
        <v>590</v>
      </c>
      <c r="B3" s="39"/>
    </row>
    <row r="4" spans="1:4" ht="15">
      <c r="A4" s="9" t="s">
        <v>591</v>
      </c>
      <c r="B4" s="10"/>
    </row>
    <row r="5" spans="1:4" ht="15">
      <c r="A5" s="9" t="s">
        <v>592</v>
      </c>
      <c r="B5" s="10"/>
    </row>
    <row r="6" spans="1:4" ht="15">
      <c r="A6" s="9" t="s">
        <v>593</v>
      </c>
      <c r="B6" s="10"/>
    </row>
    <row r="7" spans="1:4" ht="15">
      <c r="A7" s="9" t="s">
        <v>594</v>
      </c>
      <c r="B7" s="10"/>
    </row>
    <row r="8" spans="1:4" ht="15">
      <c r="A8" s="9" t="s">
        <v>595</v>
      </c>
      <c r="B8" s="10" t="s">
        <v>596</v>
      </c>
    </row>
    <row r="9" spans="1:4" ht="15">
      <c r="A9" s="9" t="s">
        <v>597</v>
      </c>
      <c r="B9" s="10"/>
    </row>
    <row r="10" spans="1:4" ht="15">
      <c r="A10" s="9" t="s">
        <v>598</v>
      </c>
      <c r="B10" s="10"/>
    </row>
    <row r="11" spans="1:4" ht="15">
      <c r="A11" s="9" t="s">
        <v>599</v>
      </c>
      <c r="B11" s="11"/>
    </row>
    <row r="13" spans="1:4" ht="15">
      <c r="A13" s="39" t="s">
        <v>600</v>
      </c>
      <c r="B13" s="39"/>
      <c r="C13" s="39"/>
      <c r="D13" s="39"/>
    </row>
    <row r="14" spans="1:4" ht="15">
      <c r="A14" s="5" t="s">
        <v>601</v>
      </c>
      <c r="B14" s="5" t="s">
        <v>602</v>
      </c>
      <c r="C14" s="5" t="s">
        <v>603</v>
      </c>
      <c r="D14" s="5" t="s">
        <v>604</v>
      </c>
    </row>
    <row r="15" spans="1:4" ht="28.5" customHeight="1">
      <c r="A15" s="12" t="s">
        <v>605</v>
      </c>
      <c r="B15" s="13"/>
      <c r="C15" s="12" t="s">
        <v>606</v>
      </c>
      <c r="D15" s="14" t="s">
        <v>607</v>
      </c>
    </row>
    <row r="16" spans="1:4" ht="28.5" customHeight="1">
      <c r="A16" s="12" t="s">
        <v>608</v>
      </c>
      <c r="B16" s="13"/>
      <c r="C16" s="12" t="s">
        <v>609</v>
      </c>
      <c r="D16" s="14" t="s">
        <v>607</v>
      </c>
    </row>
    <row r="17" spans="1:4" ht="28.5" customHeight="1">
      <c r="A17" s="12" t="s">
        <v>610</v>
      </c>
      <c r="B17" s="13"/>
      <c r="C17" s="12" t="s">
        <v>611</v>
      </c>
      <c r="D17" s="14" t="s">
        <v>607</v>
      </c>
    </row>
    <row r="18" spans="1:4" ht="28.5" customHeight="1">
      <c r="A18" s="12" t="s">
        <v>612</v>
      </c>
      <c r="B18" s="13"/>
      <c r="C18" s="12" t="s">
        <v>613</v>
      </c>
      <c r="D18" s="14" t="s">
        <v>607</v>
      </c>
    </row>
    <row r="19" spans="1:4" ht="28.5" customHeight="1">
      <c r="A19" s="12" t="s">
        <v>614</v>
      </c>
      <c r="B19" s="13"/>
      <c r="C19" s="12" t="s">
        <v>615</v>
      </c>
      <c r="D19" s="14" t="s">
        <v>607</v>
      </c>
    </row>
    <row r="20" spans="1:4" ht="28.5" customHeight="1">
      <c r="A20" s="12" t="s">
        <v>616</v>
      </c>
      <c r="B20" s="13"/>
      <c r="C20" s="12" t="s">
        <v>617</v>
      </c>
      <c r="D20" s="14" t="s">
        <v>607</v>
      </c>
    </row>
    <row r="21" spans="1:4" ht="28.5" customHeight="1">
      <c r="A21" s="12" t="s">
        <v>618</v>
      </c>
      <c r="B21" s="13"/>
      <c r="C21" s="12" t="s">
        <v>619</v>
      </c>
      <c r="D21" s="14" t="s">
        <v>607</v>
      </c>
    </row>
    <row r="22" spans="1:4" ht="28.5" customHeight="1">
      <c r="A22" s="12" t="s">
        <v>620</v>
      </c>
      <c r="B22" s="13"/>
      <c r="C22" s="12" t="s">
        <v>621</v>
      </c>
      <c r="D22" s="14" t="s">
        <v>622</v>
      </c>
    </row>
    <row r="23" spans="1:4" ht="28.5" customHeight="1">
      <c r="A23" s="12" t="s">
        <v>437</v>
      </c>
      <c r="B23" s="13"/>
      <c r="C23" s="12" t="s">
        <v>623</v>
      </c>
      <c r="D23" s="14" t="s">
        <v>624</v>
      </c>
    </row>
    <row r="24" spans="1:4" ht="28.5" customHeight="1">
      <c r="A24" s="12" t="s">
        <v>625</v>
      </c>
      <c r="B24" s="13"/>
      <c r="C24" s="12" t="s">
        <v>626</v>
      </c>
      <c r="D24" s="14" t="s">
        <v>607</v>
      </c>
    </row>
    <row r="26" spans="1:4" ht="15">
      <c r="A26" s="39" t="s">
        <v>627</v>
      </c>
      <c r="B26" s="39"/>
      <c r="C26" s="39"/>
      <c r="D26" s="39"/>
    </row>
    <row r="27" spans="1:4">
      <c r="A27" s="48" t="s">
        <v>628</v>
      </c>
      <c r="B27" s="48"/>
      <c r="C27" s="48"/>
      <c r="D27" s="48"/>
    </row>
    <row r="28" spans="1:4">
      <c r="A28" s="48" t="s">
        <v>629</v>
      </c>
      <c r="B28" s="48"/>
      <c r="C28" s="48"/>
      <c r="D28" s="48"/>
    </row>
  </sheetData>
  <mergeCells count="6">
    <mergeCell ref="A28:D28"/>
    <mergeCell ref="A1:D1"/>
    <mergeCell ref="A3:B3"/>
    <mergeCell ref="A13:D13"/>
    <mergeCell ref="A26:D26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</vt:lpstr>
      <vt:lpstr>Checklist</vt:lpstr>
      <vt:lpstr>Préparation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Durand</cp:lastModifiedBy>
  <dcterms:created xsi:type="dcterms:W3CDTF">2026-07-27T22:15:35Z</dcterms:created>
  <dcterms:modified xsi:type="dcterms:W3CDTF">2026-07-27T22:15:35Z</dcterms:modified>
</cp:coreProperties>
</file>